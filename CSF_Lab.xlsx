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co\Desktop\Mestrado\Tele\CSF_Lab\"/>
    </mc:Choice>
  </mc:AlternateContent>
  <xr:revisionPtr revIDLastSave="0" documentId="13_ncr:1_{3DE1141D-269B-4BAD-8BCE-E83A66B2016F}" xr6:coauthVersionLast="47" xr6:coauthVersionMax="47" xr10:uidLastSave="{00000000-0000-0000-0000-000000000000}"/>
  <bookViews>
    <workbookView xWindow="-120" yWindow="-120" windowWidth="29040" windowHeight="15720" xr2:uid="{D4ADC6CF-8AED-4095-A033-F153F8AA1638}"/>
  </bookViews>
  <sheets>
    <sheet name="Teórico" sheetId="2" r:id="rId1"/>
    <sheet name="Teórico (2)" sheetId="3" r:id="rId2"/>
    <sheet name="Obtido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K8" i="3" s="1"/>
  <c r="K9" i="3"/>
  <c r="I16" i="3"/>
  <c r="M16" i="3" s="1"/>
  <c r="G16" i="3"/>
  <c r="K16" i="3" s="1"/>
  <c r="M15" i="3"/>
  <c r="K15" i="3"/>
  <c r="I15" i="3"/>
  <c r="G15" i="3"/>
  <c r="I14" i="3"/>
  <c r="M14" i="3" s="1"/>
  <c r="G14" i="3"/>
  <c r="K14" i="3" s="1"/>
  <c r="I13" i="3"/>
  <c r="M13" i="3" s="1"/>
  <c r="G13" i="3"/>
  <c r="K13" i="3" s="1"/>
  <c r="K12" i="3"/>
  <c r="I12" i="3"/>
  <c r="M12" i="3" s="1"/>
  <c r="G12" i="3"/>
  <c r="I11" i="3"/>
  <c r="M11" i="3" s="1"/>
  <c r="G11" i="3"/>
  <c r="K11" i="3" s="1"/>
  <c r="I10" i="3"/>
  <c r="M10" i="3" s="1"/>
  <c r="G10" i="3"/>
  <c r="K10" i="3" s="1"/>
  <c r="I9" i="3"/>
  <c r="M9" i="3" s="1"/>
  <c r="I8" i="3"/>
  <c r="M8" i="3" s="1"/>
  <c r="S16" i="2"/>
  <c r="I16" i="2"/>
  <c r="M16" i="2" s="1"/>
  <c r="G16" i="2"/>
  <c r="K16" i="2" s="1"/>
  <c r="I15" i="2"/>
  <c r="M15" i="2" s="1"/>
  <c r="G15" i="2"/>
  <c r="K15" i="2" s="1"/>
  <c r="S14" i="2"/>
  <c r="I14" i="2"/>
  <c r="M14" i="2" s="1"/>
  <c r="G14" i="2"/>
  <c r="K14" i="2" s="1"/>
  <c r="I13" i="2"/>
  <c r="M13" i="2" s="1"/>
  <c r="G13" i="2"/>
  <c r="K13" i="2" s="1"/>
  <c r="I12" i="2"/>
  <c r="M12" i="2" s="1"/>
  <c r="G12" i="2"/>
  <c r="K12" i="2" s="1"/>
  <c r="I11" i="2"/>
  <c r="M11" i="2" s="1"/>
  <c r="G11" i="2"/>
  <c r="K11" i="2" s="1"/>
  <c r="I10" i="2"/>
  <c r="M10" i="2" s="1"/>
  <c r="G10" i="2"/>
  <c r="K10" i="2" s="1"/>
  <c r="I9" i="2"/>
  <c r="M9" i="2" s="1"/>
  <c r="G9" i="2"/>
  <c r="K9" i="2" s="1"/>
  <c r="I8" i="2"/>
  <c r="M8" i="2" s="1"/>
  <c r="G8" i="2"/>
  <c r="K8" i="2" s="1"/>
  <c r="I16" i="1"/>
  <c r="M16" i="1" s="1"/>
  <c r="I15" i="1"/>
  <c r="M15" i="1" s="1"/>
  <c r="I14" i="1"/>
  <c r="M14" i="1" s="1"/>
  <c r="I12" i="1"/>
  <c r="M12" i="1" s="1"/>
  <c r="I13" i="1"/>
  <c r="M13" i="1" s="1"/>
  <c r="I11" i="1"/>
  <c r="M11" i="1" s="1"/>
  <c r="I9" i="1"/>
  <c r="M9" i="1" s="1"/>
  <c r="I10" i="1"/>
  <c r="M10" i="1" s="1"/>
  <c r="I8" i="1"/>
  <c r="M8" i="1" s="1"/>
  <c r="G9" i="1"/>
  <c r="K9" i="1" s="1"/>
  <c r="G10" i="1"/>
  <c r="K10" i="1" s="1"/>
  <c r="G11" i="1"/>
  <c r="K11" i="1" s="1"/>
  <c r="G12" i="1"/>
  <c r="K12" i="1" s="1"/>
  <c r="G13" i="1"/>
  <c r="K13" i="1" s="1"/>
  <c r="G14" i="1"/>
  <c r="K14" i="1" s="1"/>
  <c r="G15" i="1"/>
  <c r="K15" i="1" s="1"/>
  <c r="G16" i="1"/>
  <c r="K16" i="1" s="1"/>
  <c r="G8" i="1"/>
  <c r="K8" i="1" s="1"/>
  <c r="Y14" i="3" l="1"/>
  <c r="U14" i="3"/>
  <c r="Q14" i="3"/>
  <c r="W8" i="3"/>
  <c r="S8" i="3"/>
  <c r="O8" i="3"/>
  <c r="Y8" i="3"/>
  <c r="U8" i="3"/>
  <c r="Q8" i="3"/>
  <c r="W9" i="3"/>
  <c r="S9" i="3"/>
  <c r="O9" i="3"/>
  <c r="Y9" i="3"/>
  <c r="U9" i="3"/>
  <c r="Q9" i="3"/>
  <c r="W10" i="3"/>
  <c r="S10" i="3"/>
  <c r="O10" i="3"/>
  <c r="Y10" i="3"/>
  <c r="U10" i="3"/>
  <c r="Q10" i="3"/>
  <c r="W11" i="3"/>
  <c r="S11" i="3"/>
  <c r="O11" i="3"/>
  <c r="Y11" i="3"/>
  <c r="U11" i="3"/>
  <c r="Q11" i="3"/>
  <c r="Y12" i="3"/>
  <c r="U12" i="3"/>
  <c r="Q12" i="3"/>
  <c r="W13" i="3"/>
  <c r="S13" i="3"/>
  <c r="O13" i="3"/>
  <c r="Y13" i="3"/>
  <c r="U13" i="3"/>
  <c r="Q13" i="3"/>
  <c r="W14" i="3"/>
  <c r="S14" i="3"/>
  <c r="O14" i="3"/>
  <c r="W16" i="3"/>
  <c r="S16" i="3"/>
  <c r="O16" i="3"/>
  <c r="Y16" i="3"/>
  <c r="U16" i="3"/>
  <c r="Q16" i="3"/>
  <c r="W12" i="3"/>
  <c r="S12" i="3"/>
  <c r="O12" i="3"/>
  <c r="W15" i="3"/>
  <c r="S15" i="3"/>
  <c r="Y15" i="3"/>
  <c r="U15" i="3"/>
  <c r="Q15" i="3"/>
  <c r="O15" i="3"/>
  <c r="AE14" i="2"/>
  <c r="AQ14" i="2"/>
  <c r="W8" i="2"/>
  <c r="O8" i="2"/>
  <c r="W15" i="2"/>
  <c r="O15" i="2"/>
  <c r="Q8" i="2"/>
  <c r="Y8" i="2"/>
  <c r="Q15" i="2"/>
  <c r="Y15" i="2"/>
  <c r="U15" i="2"/>
  <c r="S8" i="2"/>
  <c r="S15" i="2"/>
  <c r="U8" i="2"/>
  <c r="O16" i="2"/>
  <c r="W16" i="2"/>
  <c r="O9" i="2"/>
  <c r="W9" i="2"/>
  <c r="Q16" i="2"/>
  <c r="Y16" i="2"/>
  <c r="U16" i="2"/>
  <c r="Q9" i="2"/>
  <c r="Y9" i="2"/>
  <c r="U9" i="2"/>
  <c r="S9" i="2"/>
  <c r="W10" i="2"/>
  <c r="O10" i="2"/>
  <c r="Q10" i="2"/>
  <c r="Y10" i="2"/>
  <c r="U10" i="2"/>
  <c r="S10" i="2"/>
  <c r="O11" i="2"/>
  <c r="W11" i="2"/>
  <c r="Q11" i="2"/>
  <c r="Y11" i="2"/>
  <c r="U11" i="2"/>
  <c r="S11" i="2"/>
  <c r="W12" i="2"/>
  <c r="O12" i="2"/>
  <c r="Q12" i="2"/>
  <c r="Y12" i="2"/>
  <c r="U12" i="2"/>
  <c r="S12" i="2"/>
  <c r="O13" i="2"/>
  <c r="W13" i="2"/>
  <c r="Q13" i="2"/>
  <c r="Y13" i="2"/>
  <c r="U13" i="2"/>
  <c r="S13" i="2"/>
  <c r="W14" i="2"/>
  <c r="O14" i="2"/>
  <c r="Q14" i="2"/>
  <c r="Y14" i="2"/>
  <c r="U14" i="2"/>
  <c r="AQ16" i="2"/>
  <c r="AE16" i="2"/>
  <c r="AG16" i="3" l="1"/>
  <c r="AS16" i="3"/>
  <c r="AW16" i="3"/>
  <c r="AK16" i="3"/>
  <c r="AW10" i="3"/>
  <c r="AK10" i="3"/>
  <c r="AI16" i="3"/>
  <c r="AU16" i="3"/>
  <c r="AA14" i="3"/>
  <c r="AM14" i="3"/>
  <c r="AE14" i="3"/>
  <c r="AQ14" i="3"/>
  <c r="AI14" i="3"/>
  <c r="AU14" i="3"/>
  <c r="AC13" i="3"/>
  <c r="AO13" i="3"/>
  <c r="AE13" i="3"/>
  <c r="AQ13" i="3"/>
  <c r="AI11" i="3"/>
  <c r="AU11" i="3"/>
  <c r="AC10" i="3"/>
  <c r="AO10" i="3"/>
  <c r="AA16" i="3"/>
  <c r="AM16" i="3"/>
  <c r="AG10" i="3"/>
  <c r="AS10" i="3"/>
  <c r="AE16" i="3"/>
  <c r="AQ16" i="3"/>
  <c r="AA10" i="3"/>
  <c r="AM10" i="3"/>
  <c r="AE10" i="3"/>
  <c r="AQ10" i="3"/>
  <c r="AI10" i="3"/>
  <c r="AU10" i="3"/>
  <c r="AC9" i="3"/>
  <c r="AO9" i="3"/>
  <c r="AG9" i="3"/>
  <c r="AS9" i="3"/>
  <c r="AG13" i="3"/>
  <c r="AS13" i="3"/>
  <c r="AW9" i="3"/>
  <c r="AK9" i="3"/>
  <c r="AK13" i="3"/>
  <c r="AW13" i="3"/>
  <c r="AA9" i="3"/>
  <c r="AM9" i="3"/>
  <c r="AA13" i="3"/>
  <c r="AM13" i="3"/>
  <c r="AE9" i="3"/>
  <c r="AQ9" i="3"/>
  <c r="AA15" i="3"/>
  <c r="AM15" i="3"/>
  <c r="AI9" i="3"/>
  <c r="AU9" i="3"/>
  <c r="AC15" i="3"/>
  <c r="AO15" i="3"/>
  <c r="AI13" i="3"/>
  <c r="AU13" i="3"/>
  <c r="AC8" i="3"/>
  <c r="AO8" i="3"/>
  <c r="AG15" i="3"/>
  <c r="AS15" i="3"/>
  <c r="AC12" i="3"/>
  <c r="AO12" i="3"/>
  <c r="AG8" i="3"/>
  <c r="AS8" i="3"/>
  <c r="AK15" i="3"/>
  <c r="AW15" i="3"/>
  <c r="AG12" i="3"/>
  <c r="AS12" i="3"/>
  <c r="AK8" i="3"/>
  <c r="AW8" i="3"/>
  <c r="AE15" i="3"/>
  <c r="AQ15" i="3"/>
  <c r="AW12" i="3"/>
  <c r="AK12" i="3"/>
  <c r="AA8" i="3"/>
  <c r="AM8" i="3"/>
  <c r="AI15" i="3"/>
  <c r="AU15" i="3"/>
  <c r="AC11" i="3"/>
  <c r="AO11" i="3"/>
  <c r="AE8" i="3"/>
  <c r="AQ8" i="3"/>
  <c r="AA12" i="3"/>
  <c r="AM12" i="3"/>
  <c r="AG11" i="3"/>
  <c r="AS11" i="3"/>
  <c r="AI8" i="3"/>
  <c r="AU8" i="3"/>
  <c r="AE12" i="3"/>
  <c r="AQ12" i="3"/>
  <c r="AK11" i="3"/>
  <c r="AW11" i="3"/>
  <c r="AC14" i="3"/>
  <c r="AO14" i="3"/>
  <c r="AI12" i="3"/>
  <c r="AU12" i="3"/>
  <c r="AA11" i="3"/>
  <c r="AM11" i="3"/>
  <c r="AG14" i="3"/>
  <c r="AS14" i="3"/>
  <c r="AC16" i="3"/>
  <c r="AO16" i="3"/>
  <c r="AE11" i="3"/>
  <c r="AQ11" i="3"/>
  <c r="AW14" i="3"/>
  <c r="AK14" i="3"/>
  <c r="AM14" i="2"/>
  <c r="AA14" i="2"/>
  <c r="AM13" i="2"/>
  <c r="AA13" i="2"/>
  <c r="AC9" i="2"/>
  <c r="AO9" i="2"/>
  <c r="AQ12" i="2"/>
  <c r="AE12" i="2"/>
  <c r="AS16" i="2"/>
  <c r="AG16" i="2"/>
  <c r="AS12" i="2"/>
  <c r="AG12" i="2"/>
  <c r="AW16" i="2"/>
  <c r="AK16" i="2"/>
  <c r="AW12" i="2"/>
  <c r="AK12" i="2"/>
  <c r="AC16" i="2"/>
  <c r="AO16" i="2"/>
  <c r="AO12" i="2"/>
  <c r="AC12" i="2"/>
  <c r="AU9" i="2"/>
  <c r="AI9" i="2"/>
  <c r="AM12" i="2"/>
  <c r="AA12" i="2"/>
  <c r="AM9" i="2"/>
  <c r="AA9" i="2"/>
  <c r="AI12" i="2"/>
  <c r="AU12" i="2"/>
  <c r="AU16" i="2"/>
  <c r="AI16" i="2"/>
  <c r="AQ11" i="2"/>
  <c r="AE11" i="2"/>
  <c r="AM16" i="2"/>
  <c r="AA16" i="2"/>
  <c r="AS11" i="2"/>
  <c r="AG11" i="2"/>
  <c r="AS8" i="2"/>
  <c r="AG8" i="2"/>
  <c r="AW11" i="2"/>
  <c r="AK11" i="2"/>
  <c r="AQ15" i="2"/>
  <c r="AE15" i="2"/>
  <c r="AC11" i="2"/>
  <c r="AO11" i="2"/>
  <c r="AQ8" i="2"/>
  <c r="AE8" i="2"/>
  <c r="AU11" i="2"/>
  <c r="AI11" i="2"/>
  <c r="AG15" i="2"/>
  <c r="AS15" i="2"/>
  <c r="AS14" i="2"/>
  <c r="AG14" i="2"/>
  <c r="AM11" i="2"/>
  <c r="AA11" i="2"/>
  <c r="AK15" i="2"/>
  <c r="AW15" i="2"/>
  <c r="AW14" i="2"/>
  <c r="AK14" i="2"/>
  <c r="AQ10" i="2"/>
  <c r="AE10" i="2"/>
  <c r="AO15" i="2"/>
  <c r="AC15" i="2"/>
  <c r="AO14" i="2"/>
  <c r="AC14" i="2"/>
  <c r="AS10" i="2"/>
  <c r="AG10" i="2"/>
  <c r="AW8" i="2"/>
  <c r="AK8" i="2"/>
  <c r="AW10" i="2"/>
  <c r="AK10" i="2"/>
  <c r="AO8" i="2"/>
  <c r="AC8" i="2"/>
  <c r="AU14" i="2"/>
  <c r="AI14" i="2"/>
  <c r="AO10" i="2"/>
  <c r="AC10" i="2"/>
  <c r="AM15" i="2"/>
  <c r="AA15" i="2"/>
  <c r="AQ13" i="2"/>
  <c r="AE13" i="2"/>
  <c r="AM10" i="2"/>
  <c r="AA10" i="2"/>
  <c r="AU15" i="2"/>
  <c r="AI15" i="2"/>
  <c r="AS13" i="2"/>
  <c r="AG13" i="2"/>
  <c r="AI10" i="2"/>
  <c r="AU10" i="2"/>
  <c r="AM8" i="2"/>
  <c r="AA8" i="2"/>
  <c r="AK13" i="2"/>
  <c r="AW13" i="2"/>
  <c r="AQ9" i="2"/>
  <c r="AE9" i="2"/>
  <c r="AI8" i="2"/>
  <c r="AU8" i="2"/>
  <c r="AC13" i="2"/>
  <c r="AO13" i="2"/>
  <c r="AS9" i="2"/>
  <c r="AG9" i="2"/>
  <c r="AU13" i="2"/>
  <c r="AI13" i="2"/>
  <c r="AW9" i="2"/>
  <c r="AK9" i="2"/>
</calcChain>
</file>

<file path=xl/sharedStrings.xml><?xml version="1.0" encoding="utf-8"?>
<sst xmlns="http://schemas.openxmlformats.org/spreadsheetml/2006/main" count="140" uniqueCount="31">
  <si>
    <t>Pontos Faculdade</t>
  </si>
  <si>
    <t>Atenuação do ar</t>
  </si>
  <si>
    <t>Atenuação total</t>
  </si>
  <si>
    <t>metros</t>
  </si>
  <si>
    <t>F1(800MHz)</t>
  </si>
  <si>
    <t>F2(3.4GHz)</t>
  </si>
  <si>
    <t>dB</t>
  </si>
  <si>
    <t>dBm</t>
  </si>
  <si>
    <t>LFSPL(dB) ≈ 32.45+20log10(f[MHz])+20log10(d[km])</t>
  </si>
  <si>
    <t>3(NLOS_Interior)</t>
  </si>
  <si>
    <t>2(NLOS_Exterior)</t>
  </si>
  <si>
    <t>1(LOS_Exterior)</t>
  </si>
  <si>
    <t>α</t>
  </si>
  <si>
    <t>β</t>
  </si>
  <si>
    <t>γ</t>
  </si>
  <si>
    <t>PLTotal=PL+Atenuação_Obst</t>
  </si>
  <si>
    <t>Potência_Recebida = P_enviada - PLTotal</t>
  </si>
  <si>
    <t>Potência Recebida 1(250mW)</t>
  </si>
  <si>
    <t>Potência Recebida 2(2W)</t>
  </si>
  <si>
    <t>Potência Recebida 3(20W)</t>
  </si>
  <si>
    <r>
      <t xml:space="preserve">PLABG​(f,d)=10αlog10​(d_m)+β+10*γ*log10​(f_GHz) +  </t>
    </r>
    <r>
      <rPr>
        <sz val="9"/>
        <color theme="1"/>
        <rFont val="Aptos Narrow"/>
        <family val="2"/>
      </rPr>
      <t>σ</t>
    </r>
  </si>
  <si>
    <t>σ</t>
  </si>
  <si>
    <t>«</t>
  </si>
  <si>
    <t>SNR1</t>
  </si>
  <si>
    <t>SNR2</t>
  </si>
  <si>
    <t>SNR3</t>
  </si>
  <si>
    <t>95dBm</t>
  </si>
  <si>
    <t>105dBm</t>
  </si>
  <si>
    <t>SNR=P_Recebida-Noise_Floor</t>
  </si>
  <si>
    <t>Potência Recebida(Dados de Campo)</t>
  </si>
  <si>
    <t>SINR((Dados de Campo))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</si>
</sst>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Times New Roman"/>
      <family val="1"/>
    </font>
    <font>
      <u/>
      <sz val="11"/>
      <color theme="1"/>
      <name val="Aptos Narrow"/>
      <family val="2"/>
      <scheme val="minor"/>
    </font>
    <font>
      <sz val="9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37">
    <border>
      <left/>
      <right/>
      <top/>
      <bottom/>
      <diagonal/>
    </border>
    <border>
      <left style="thick">
        <color theme="1" tint="4.9989318521683403E-2"/>
      </left>
      <right style="thick">
        <color theme="1" tint="4.9989318521683403E-2"/>
      </right>
      <top style="thick">
        <color theme="1" tint="4.9989318521683403E-2"/>
      </top>
      <bottom style="thick">
        <color theme="1" tint="4.9989318521683403E-2"/>
      </bottom>
      <diagonal/>
    </border>
    <border>
      <left style="thick">
        <color theme="1" tint="4.9989318521683403E-2"/>
      </left>
      <right style="thick">
        <color theme="1" tint="4.9989318521683403E-2"/>
      </right>
      <top/>
      <bottom style="thick">
        <color theme="1" tint="4.9989318521683403E-2"/>
      </bottom>
      <diagonal/>
    </border>
    <border>
      <left style="thick">
        <color theme="1" tint="4.9989318521683403E-2"/>
      </left>
      <right/>
      <top style="thick">
        <color theme="1" tint="4.9989318521683403E-2"/>
      </top>
      <bottom style="thick">
        <color theme="1" tint="4.9989318521683403E-2"/>
      </bottom>
      <diagonal/>
    </border>
    <border>
      <left/>
      <right style="thick">
        <color theme="1" tint="4.9989318521683403E-2"/>
      </right>
      <top style="thick">
        <color theme="1" tint="4.9989318521683403E-2"/>
      </top>
      <bottom style="thick">
        <color theme="1" tint="4.9989318521683403E-2"/>
      </bottom>
      <diagonal/>
    </border>
    <border>
      <left/>
      <right/>
      <top style="thick">
        <color theme="1" tint="4.9989318521683403E-2"/>
      </top>
      <bottom/>
      <diagonal/>
    </border>
    <border>
      <left style="thick">
        <color theme="1" tint="4.9989318521683403E-2"/>
      </left>
      <right/>
      <top style="thick">
        <color theme="1" tint="4.9989318521683403E-2"/>
      </top>
      <bottom/>
      <diagonal/>
    </border>
    <border>
      <left/>
      <right style="thick">
        <color theme="1" tint="4.9989318521683403E-2"/>
      </right>
      <top style="thick">
        <color theme="1" tint="4.9989318521683403E-2"/>
      </top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 tint="4.9989318521683403E-2"/>
      </left>
      <right style="thick">
        <color theme="1" tint="4.9989318521683403E-2"/>
      </right>
      <top style="thick">
        <color theme="1" tint="4.9989318521683403E-2"/>
      </top>
      <bottom/>
      <diagonal/>
    </border>
    <border>
      <left style="medium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theme="1" tint="4.9989318521683403E-2"/>
      </left>
      <right/>
      <top/>
      <bottom/>
      <diagonal/>
    </border>
    <border>
      <left/>
      <right style="thick">
        <color theme="1" tint="4.9989318521683403E-2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theme="1" tint="4.9989318521683403E-2"/>
      </top>
      <bottom/>
      <diagonal/>
    </border>
    <border>
      <left/>
      <right style="medium">
        <color indexed="64"/>
      </right>
      <top style="thick">
        <color theme="1" tint="4.9989318521683403E-2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1" tint="4.9989318521683403E-2"/>
      </bottom>
      <diagonal/>
    </border>
    <border>
      <left style="thick">
        <color theme="1" tint="4.9989318521683403E-2"/>
      </left>
      <right/>
      <top style="thick">
        <color theme="1" tint="4.9989318521683403E-2"/>
      </top>
      <bottom style="thick">
        <color indexed="64"/>
      </bottom>
      <diagonal/>
    </border>
    <border>
      <left/>
      <right/>
      <top style="thick">
        <color theme="1" tint="4.9989318521683403E-2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theme="1" tint="4.9989318521683403E-2"/>
      </top>
      <bottom style="thick">
        <color theme="1" tint="4.9989318521683403E-2"/>
      </bottom>
      <diagonal/>
    </border>
    <border>
      <left style="thick">
        <color theme="1" tint="4.9989318521683403E-2"/>
      </left>
      <right/>
      <top style="thick">
        <color theme="1" tint="4.9989318521683403E-2"/>
      </top>
      <bottom style="medium">
        <color indexed="64"/>
      </bottom>
      <diagonal/>
    </border>
    <border>
      <left/>
      <right/>
      <top style="thick">
        <color theme="1" tint="4.9989318521683403E-2"/>
      </top>
      <bottom style="medium">
        <color indexed="64"/>
      </bottom>
      <diagonal/>
    </border>
    <border>
      <left/>
      <right style="thick">
        <color theme="1" tint="4.9989318521683403E-2"/>
      </right>
      <top style="thick">
        <color theme="1" tint="4.9989318521683403E-2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3" xfId="0" applyBorder="1"/>
    <xf numFmtId="0" fontId="0" fillId="0" borderId="7" xfId="0" applyBorder="1" applyAlignment="1">
      <alignment horizontal="center"/>
    </xf>
    <xf numFmtId="0" fontId="3" fillId="0" borderId="0" xfId="0" applyFont="1"/>
    <xf numFmtId="0" fontId="0" fillId="0" borderId="32" xfId="0" applyBorder="1"/>
    <xf numFmtId="0" fontId="0" fillId="2" borderId="2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435469</xdr:colOff>
      <xdr:row>19</xdr:row>
      <xdr:rowOff>180086</xdr:rowOff>
    </xdr:from>
    <xdr:to>
      <xdr:col>22</xdr:col>
      <xdr:colOff>443274</xdr:colOff>
      <xdr:row>38</xdr:row>
      <xdr:rowOff>34961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B48D7D-FE8F-4DC5-A9E7-327C33B7F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98794" y="3771011"/>
          <a:ext cx="6484805" cy="33648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435469</xdr:colOff>
      <xdr:row>19</xdr:row>
      <xdr:rowOff>180086</xdr:rowOff>
    </xdr:from>
    <xdr:to>
      <xdr:col>22</xdr:col>
      <xdr:colOff>443274</xdr:colOff>
      <xdr:row>38</xdr:row>
      <xdr:rowOff>34961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54BC52-6B7D-422B-8584-122092157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98794" y="3771011"/>
          <a:ext cx="6484805" cy="33648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591334</xdr:colOff>
      <xdr:row>19</xdr:row>
      <xdr:rowOff>6904</xdr:rowOff>
    </xdr:from>
    <xdr:to>
      <xdr:col>20</xdr:col>
      <xdr:colOff>467592</xdr:colOff>
      <xdr:row>31</xdr:row>
      <xdr:rowOff>12231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E3603B9-6040-1D5B-74C8-5A5D79328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3516" y="3920813"/>
          <a:ext cx="4119212" cy="2499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7412-A94C-42D6-9945-CA2F00E0A187}">
  <dimension ref="B3:AY31"/>
  <sheetViews>
    <sheetView tabSelected="1" zoomScale="68" zoomScaleNormal="55" workbookViewId="0">
      <selection activeCell="W8" sqref="W8:X8"/>
    </sheetView>
  </sheetViews>
  <sheetFormatPr defaultRowHeight="15" x14ac:dyDescent="0.25"/>
  <cols>
    <col min="6" max="6" width="9" customWidth="1"/>
    <col min="7" max="7" width="19" customWidth="1"/>
    <col min="8" max="8" width="17.28515625" customWidth="1"/>
    <col min="10" max="10" width="41" customWidth="1"/>
  </cols>
  <sheetData>
    <row r="3" spans="2:50" ht="15.75" thickBot="1" x14ac:dyDescent="0.3">
      <c r="AA3" s="7" t="s">
        <v>26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 t="s">
        <v>27</v>
      </c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2:50" ht="16.5" thickTop="1" thickBot="1" x14ac:dyDescent="0.3">
      <c r="G4" s="8" t="s">
        <v>1</v>
      </c>
      <c r="H4" s="8"/>
      <c r="I4" s="8"/>
      <c r="J4" s="8"/>
      <c r="K4" s="8" t="s">
        <v>2</v>
      </c>
      <c r="L4" s="8"/>
      <c r="M4" s="8"/>
      <c r="N4" s="8"/>
      <c r="O4" s="9" t="s">
        <v>17</v>
      </c>
      <c r="P4" s="9"/>
      <c r="Q4" s="9"/>
      <c r="R4" s="9"/>
      <c r="S4" s="9" t="s">
        <v>18</v>
      </c>
      <c r="T4" s="9"/>
      <c r="U4" s="9"/>
      <c r="V4" s="9"/>
      <c r="W4" s="9" t="s">
        <v>19</v>
      </c>
      <c r="X4" s="9"/>
      <c r="Y4" s="9"/>
      <c r="Z4" s="9"/>
      <c r="AA4" s="10" t="s">
        <v>23</v>
      </c>
      <c r="AB4" s="10"/>
      <c r="AC4" s="10"/>
      <c r="AD4" s="10"/>
      <c r="AE4" s="10" t="s">
        <v>24</v>
      </c>
      <c r="AF4" s="10"/>
      <c r="AG4" s="10"/>
      <c r="AH4" s="10"/>
      <c r="AI4" s="10" t="s">
        <v>25</v>
      </c>
      <c r="AJ4" s="10"/>
      <c r="AK4" s="10"/>
      <c r="AL4" s="10"/>
      <c r="AM4" s="10" t="s">
        <v>23</v>
      </c>
      <c r="AN4" s="10"/>
      <c r="AO4" s="10"/>
      <c r="AP4" s="10"/>
      <c r="AQ4" s="10" t="s">
        <v>24</v>
      </c>
      <c r="AR4" s="10"/>
      <c r="AS4" s="10"/>
      <c r="AT4" s="10"/>
      <c r="AU4" s="10" t="s">
        <v>25</v>
      </c>
      <c r="AV4" s="10"/>
      <c r="AW4" s="10"/>
      <c r="AX4" s="10"/>
    </row>
    <row r="5" spans="2:50" ht="16.5" thickTop="1" thickBot="1" x14ac:dyDescent="0.3">
      <c r="G5" s="8"/>
      <c r="H5" s="8"/>
      <c r="I5" s="8"/>
      <c r="J5" s="8"/>
      <c r="K5" s="8"/>
      <c r="L5" s="8"/>
      <c r="M5" s="8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 spans="2:50" ht="16.5" thickTop="1" thickBot="1" x14ac:dyDescent="0.3">
      <c r="D6" s="11" t="s">
        <v>0</v>
      </c>
      <c r="E6" s="11"/>
      <c r="F6" s="11"/>
      <c r="G6" s="12" t="s">
        <v>4</v>
      </c>
      <c r="H6" s="12"/>
      <c r="I6" s="11" t="s">
        <v>5</v>
      </c>
      <c r="J6" s="11"/>
      <c r="K6" s="12" t="s">
        <v>4</v>
      </c>
      <c r="L6" s="12"/>
      <c r="M6" s="11" t="s">
        <v>5</v>
      </c>
      <c r="N6" s="11"/>
      <c r="O6" s="12" t="s">
        <v>4</v>
      </c>
      <c r="P6" s="12"/>
      <c r="Q6" s="11" t="s">
        <v>5</v>
      </c>
      <c r="R6" s="11"/>
      <c r="S6" s="12" t="s">
        <v>4</v>
      </c>
      <c r="T6" s="12"/>
      <c r="U6" s="11" t="s">
        <v>5</v>
      </c>
      <c r="V6" s="11"/>
      <c r="W6" s="12" t="s">
        <v>4</v>
      </c>
      <c r="X6" s="12"/>
      <c r="Y6" s="11" t="s">
        <v>5</v>
      </c>
      <c r="Z6" s="11"/>
      <c r="AA6" s="12" t="s">
        <v>4</v>
      </c>
      <c r="AB6" s="12"/>
      <c r="AC6" s="11" t="s">
        <v>5</v>
      </c>
      <c r="AD6" s="11"/>
      <c r="AE6" s="12" t="s">
        <v>4</v>
      </c>
      <c r="AF6" s="12"/>
      <c r="AG6" s="11" t="s">
        <v>5</v>
      </c>
      <c r="AH6" s="11"/>
      <c r="AI6" s="12" t="s">
        <v>4</v>
      </c>
      <c r="AJ6" s="12"/>
      <c r="AK6" s="11" t="s">
        <v>5</v>
      </c>
      <c r="AL6" s="11"/>
      <c r="AM6" s="12" t="s">
        <v>4</v>
      </c>
      <c r="AN6" s="12"/>
      <c r="AO6" s="11" t="s">
        <v>5</v>
      </c>
      <c r="AP6" s="11"/>
      <c r="AQ6" s="12" t="s">
        <v>4</v>
      </c>
      <c r="AR6" s="12"/>
      <c r="AS6" s="11" t="s">
        <v>5</v>
      </c>
      <c r="AT6" s="11"/>
      <c r="AU6" s="12" t="s">
        <v>4</v>
      </c>
      <c r="AV6" s="12"/>
      <c r="AW6" s="11" t="s">
        <v>5</v>
      </c>
      <c r="AX6" s="11"/>
    </row>
    <row r="7" spans="2:50" ht="16.5" thickTop="1" thickBot="1" x14ac:dyDescent="0.3"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2:50" ht="16.5" thickTop="1" thickBot="1" x14ac:dyDescent="0.3">
      <c r="D8" s="11" t="s">
        <v>11</v>
      </c>
      <c r="E8" s="11"/>
      <c r="F8" s="1">
        <v>145.83000000000001</v>
      </c>
      <c r="G8" s="13">
        <f>32.45+20*LOG10(800)+20*LOG10(F8/1000)</f>
        <v>73.788737255722964</v>
      </c>
      <c r="H8" s="14"/>
      <c r="I8" s="13">
        <f>10*$D$24*LOG10(F8)+$D$26+10*$D$28*LOG10(3.4) +$D$30</f>
        <v>88.737994773771447</v>
      </c>
      <c r="J8" s="14"/>
      <c r="K8" s="13">
        <f>G8</f>
        <v>73.788737255722964</v>
      </c>
      <c r="L8" s="14"/>
      <c r="M8" s="13">
        <f>I8</f>
        <v>88.737994773771447</v>
      </c>
      <c r="N8" s="14"/>
      <c r="O8" s="13">
        <f>24-K8</f>
        <v>-49.788737255722964</v>
      </c>
      <c r="P8" s="15"/>
      <c r="Q8" s="13">
        <f>24-M8</f>
        <v>-64.737994773771447</v>
      </c>
      <c r="R8" s="15"/>
      <c r="S8" s="13">
        <f>33-K8</f>
        <v>-40.788737255722964</v>
      </c>
      <c r="T8" s="15"/>
      <c r="U8" s="13">
        <f>33-M8</f>
        <v>-55.737994773771447</v>
      </c>
      <c r="V8" s="15"/>
      <c r="W8" s="13">
        <f>43-K8</f>
        <v>-30.788737255722964</v>
      </c>
      <c r="X8" s="15"/>
      <c r="Y8" s="13">
        <f>43-M8</f>
        <v>-45.737994773771447</v>
      </c>
      <c r="Z8" s="15"/>
      <c r="AA8" s="13">
        <f>O8+95</f>
        <v>45.211262744277036</v>
      </c>
      <c r="AB8" s="15"/>
      <c r="AC8" s="13">
        <f>Q8+95</f>
        <v>30.262005226228553</v>
      </c>
      <c r="AD8" s="15"/>
      <c r="AE8" s="13">
        <f>S8+95</f>
        <v>54.211262744277036</v>
      </c>
      <c r="AF8" s="15"/>
      <c r="AG8" s="13">
        <f>U8+95</f>
        <v>39.262005226228553</v>
      </c>
      <c r="AH8" s="15"/>
      <c r="AI8" s="13">
        <f>W8+95</f>
        <v>64.211262744277036</v>
      </c>
      <c r="AJ8" s="15"/>
      <c r="AK8" s="13">
        <f>Y8+95</f>
        <v>49.262005226228553</v>
      </c>
      <c r="AL8" s="15"/>
      <c r="AM8" s="13">
        <f>O8+105</f>
        <v>55.211262744277036</v>
      </c>
      <c r="AN8" s="15"/>
      <c r="AO8" s="13">
        <f>Q8+105</f>
        <v>40.262005226228553</v>
      </c>
      <c r="AP8" s="15"/>
      <c r="AQ8" s="13">
        <f>S8+105</f>
        <v>64.211262744277036</v>
      </c>
      <c r="AR8" s="15"/>
      <c r="AS8" s="13">
        <f>U8+105</f>
        <v>49.262005226228553</v>
      </c>
      <c r="AT8" s="15"/>
      <c r="AU8" s="13">
        <f>W8+105</f>
        <v>74.211262744277036</v>
      </c>
      <c r="AV8" s="15"/>
      <c r="AW8" s="13">
        <f>Y8+105</f>
        <v>59.262005226228553</v>
      </c>
      <c r="AX8" s="15"/>
    </row>
    <row r="9" spans="2:50" ht="16.5" thickTop="1" thickBot="1" x14ac:dyDescent="0.3">
      <c r="D9" s="11"/>
      <c r="E9" s="11"/>
      <c r="F9" s="1">
        <v>183.17</v>
      </c>
      <c r="G9" s="13">
        <f t="shared" ref="G9:G16" si="0">32.45+20*LOG10(800)+20*LOG10(F9/1000)</f>
        <v>75.768886648162749</v>
      </c>
      <c r="H9" s="14"/>
      <c r="I9" s="13">
        <f>10*$D$24*LOG10(F9)+$D$26+10*$D$28*LOG10(3.4) +$D$30</f>
        <v>90.718144166211232</v>
      </c>
      <c r="J9" s="14"/>
      <c r="K9" s="13">
        <f>G9</f>
        <v>75.768886648162749</v>
      </c>
      <c r="L9" s="14"/>
      <c r="M9" s="13">
        <f t="shared" ref="M9:M16" si="1">I9</f>
        <v>90.718144166211232</v>
      </c>
      <c r="N9" s="14"/>
      <c r="O9" s="13">
        <f t="shared" ref="O9:O16" si="2">24-K9</f>
        <v>-51.768886648162749</v>
      </c>
      <c r="P9" s="15"/>
      <c r="Q9" s="13">
        <f t="shared" ref="Q9:Q16" si="3">24-M9</f>
        <v>-66.718144166211232</v>
      </c>
      <c r="R9" s="15"/>
      <c r="S9" s="13">
        <f t="shared" ref="S9:S16" si="4">33-K9</f>
        <v>-42.768886648162749</v>
      </c>
      <c r="T9" s="15"/>
      <c r="U9" s="13">
        <f t="shared" ref="U9:U16" si="5">33-M9</f>
        <v>-57.718144166211232</v>
      </c>
      <c r="V9" s="15"/>
      <c r="W9" s="13">
        <f t="shared" ref="W9:W16" si="6">43-K9</f>
        <v>-32.768886648162749</v>
      </c>
      <c r="X9" s="15"/>
      <c r="Y9" s="13">
        <f t="shared" ref="Y9:Y16" si="7">43-M9</f>
        <v>-47.718144166211232</v>
      </c>
      <c r="Z9" s="15"/>
      <c r="AA9" s="13">
        <f t="shared" ref="AA9:AA16" si="8">O9+95</f>
        <v>43.231113351837251</v>
      </c>
      <c r="AB9" s="15"/>
      <c r="AC9" s="13">
        <f t="shared" ref="AC9:AC16" si="9">Q9+95</f>
        <v>28.281855833788768</v>
      </c>
      <c r="AD9" s="15"/>
      <c r="AE9" s="13">
        <f>S9+95</f>
        <v>52.231113351837251</v>
      </c>
      <c r="AF9" s="15"/>
      <c r="AG9" s="13">
        <f t="shared" ref="AG9:AG16" si="10">U9+95</f>
        <v>37.281855833788768</v>
      </c>
      <c r="AH9" s="15"/>
      <c r="AI9" s="13">
        <f t="shared" ref="AI9:AI16" si="11">W9+95</f>
        <v>62.231113351837251</v>
      </c>
      <c r="AJ9" s="15"/>
      <c r="AK9" s="13">
        <f t="shared" ref="AK9:AK16" si="12">Y9+95</f>
        <v>47.281855833788768</v>
      </c>
      <c r="AL9" s="15"/>
      <c r="AM9" s="13">
        <f t="shared" ref="AM9:AM16" si="13">O9+105</f>
        <v>53.231113351837251</v>
      </c>
      <c r="AN9" s="15"/>
      <c r="AO9" s="13">
        <f t="shared" ref="AO9:AO16" si="14">Q9+105</f>
        <v>38.281855833788768</v>
      </c>
      <c r="AP9" s="15"/>
      <c r="AQ9" s="13">
        <f t="shared" ref="AQ9:AQ16" si="15">S9+105</f>
        <v>62.231113351837251</v>
      </c>
      <c r="AR9" s="15"/>
      <c r="AS9" s="13">
        <f t="shared" ref="AS9:AS16" si="16">U9+105</f>
        <v>47.281855833788768</v>
      </c>
      <c r="AT9" s="15"/>
      <c r="AU9" s="13">
        <f t="shared" ref="AU9:AU16" si="17">W9+105</f>
        <v>72.231113351837251</v>
      </c>
      <c r="AV9" s="15"/>
      <c r="AW9" s="13">
        <f t="shared" ref="AW9:AW16" si="18">Y9+105</f>
        <v>57.281855833788768</v>
      </c>
      <c r="AX9" s="15"/>
    </row>
    <row r="10" spans="2:50" ht="16.5" thickTop="1" thickBot="1" x14ac:dyDescent="0.3">
      <c r="D10" s="11"/>
      <c r="E10" s="11"/>
      <c r="F10" s="1">
        <v>243.1</v>
      </c>
      <c r="G10" s="13">
        <f t="shared" si="0"/>
        <v>78.227498916705599</v>
      </c>
      <c r="H10" s="14"/>
      <c r="I10" s="13">
        <f>10*$D$24*LOG10(F10)+$D$26+10*$D$28*LOG10(3.4) +$D$30</f>
        <v>93.176756434754083</v>
      </c>
      <c r="J10" s="14"/>
      <c r="K10" s="13">
        <f>G10</f>
        <v>78.227498916705599</v>
      </c>
      <c r="L10" s="14"/>
      <c r="M10" s="13">
        <f t="shared" si="1"/>
        <v>93.176756434754083</v>
      </c>
      <c r="N10" s="14"/>
      <c r="O10" s="13">
        <f t="shared" si="2"/>
        <v>-54.227498916705599</v>
      </c>
      <c r="P10" s="15"/>
      <c r="Q10" s="13">
        <f t="shared" si="3"/>
        <v>-69.176756434754083</v>
      </c>
      <c r="R10" s="15"/>
      <c r="S10" s="13">
        <f t="shared" si="4"/>
        <v>-45.227498916705599</v>
      </c>
      <c r="T10" s="15"/>
      <c r="U10" s="13">
        <f t="shared" si="5"/>
        <v>-60.176756434754083</v>
      </c>
      <c r="V10" s="15"/>
      <c r="W10" s="13">
        <f t="shared" si="6"/>
        <v>-35.227498916705599</v>
      </c>
      <c r="X10" s="15"/>
      <c r="Y10" s="13">
        <f t="shared" si="7"/>
        <v>-50.176756434754083</v>
      </c>
      <c r="Z10" s="15"/>
      <c r="AA10" s="13">
        <f t="shared" si="8"/>
        <v>40.772501083294401</v>
      </c>
      <c r="AB10" s="15"/>
      <c r="AC10" s="13">
        <f t="shared" si="9"/>
        <v>25.823243565245917</v>
      </c>
      <c r="AD10" s="15"/>
      <c r="AE10" s="13">
        <f t="shared" ref="AE10:AE16" si="19">S10+95</f>
        <v>49.772501083294401</v>
      </c>
      <c r="AF10" s="15"/>
      <c r="AG10" s="13">
        <f t="shared" si="10"/>
        <v>34.823243565245917</v>
      </c>
      <c r="AH10" s="15"/>
      <c r="AI10" s="13">
        <f t="shared" si="11"/>
        <v>59.772501083294401</v>
      </c>
      <c r="AJ10" s="15"/>
      <c r="AK10" s="13">
        <f t="shared" si="12"/>
        <v>44.823243565245917</v>
      </c>
      <c r="AL10" s="15"/>
      <c r="AM10" s="13">
        <f t="shared" si="13"/>
        <v>50.772501083294401</v>
      </c>
      <c r="AN10" s="15"/>
      <c r="AO10" s="13">
        <f t="shared" si="14"/>
        <v>35.823243565245917</v>
      </c>
      <c r="AP10" s="15"/>
      <c r="AQ10" s="13">
        <f t="shared" si="15"/>
        <v>59.772501083294401</v>
      </c>
      <c r="AR10" s="15"/>
      <c r="AS10" s="13">
        <f t="shared" si="16"/>
        <v>44.823243565245917</v>
      </c>
      <c r="AT10" s="15"/>
      <c r="AU10" s="13">
        <f t="shared" si="17"/>
        <v>69.772501083294401</v>
      </c>
      <c r="AV10" s="15"/>
      <c r="AW10" s="13">
        <f t="shared" si="18"/>
        <v>54.823243565245917</v>
      </c>
      <c r="AX10" s="15"/>
    </row>
    <row r="11" spans="2:50" ht="16.5" thickTop="1" thickBot="1" x14ac:dyDescent="0.3">
      <c r="D11" s="11" t="s">
        <v>10</v>
      </c>
      <c r="E11" s="11"/>
      <c r="F11" s="1">
        <v>302.69</v>
      </c>
      <c r="G11" s="13">
        <f t="shared" si="0"/>
        <v>80.131761207100013</v>
      </c>
      <c r="H11" s="14"/>
      <c r="I11" s="13">
        <f>10*$G$24*LOG10(F8)+$G$26+10*$G$28*LOG10(3.4)+ $G$30</f>
        <v>88.311727614209588</v>
      </c>
      <c r="J11" s="14"/>
      <c r="K11" s="13">
        <f>G11+6</f>
        <v>86.131761207100013</v>
      </c>
      <c r="L11" s="14"/>
      <c r="M11" s="13">
        <f t="shared" si="1"/>
        <v>88.311727614209588</v>
      </c>
      <c r="N11" s="14"/>
      <c r="O11" s="13">
        <f t="shared" si="2"/>
        <v>-62.131761207100013</v>
      </c>
      <c r="P11" s="15"/>
      <c r="Q11" s="13">
        <f t="shared" si="3"/>
        <v>-64.311727614209588</v>
      </c>
      <c r="R11" s="15"/>
      <c r="S11" s="13">
        <f t="shared" si="4"/>
        <v>-53.131761207100013</v>
      </c>
      <c r="T11" s="15"/>
      <c r="U11" s="13">
        <f t="shared" si="5"/>
        <v>-55.311727614209588</v>
      </c>
      <c r="V11" s="15"/>
      <c r="W11" s="13">
        <f t="shared" si="6"/>
        <v>-43.131761207100013</v>
      </c>
      <c r="X11" s="15"/>
      <c r="Y11" s="13">
        <f t="shared" si="7"/>
        <v>-45.311727614209588</v>
      </c>
      <c r="Z11" s="15"/>
      <c r="AA11" s="13">
        <f t="shared" si="8"/>
        <v>32.868238792899987</v>
      </c>
      <c r="AB11" s="15"/>
      <c r="AC11" s="13">
        <f t="shared" si="9"/>
        <v>30.688272385790412</v>
      </c>
      <c r="AD11" s="15"/>
      <c r="AE11" s="13">
        <f t="shared" si="19"/>
        <v>41.868238792899987</v>
      </c>
      <c r="AF11" s="15"/>
      <c r="AG11" s="13">
        <f t="shared" si="10"/>
        <v>39.688272385790412</v>
      </c>
      <c r="AH11" s="15"/>
      <c r="AI11" s="13">
        <f t="shared" si="11"/>
        <v>51.868238792899987</v>
      </c>
      <c r="AJ11" s="15"/>
      <c r="AK11" s="13">
        <f t="shared" si="12"/>
        <v>49.688272385790412</v>
      </c>
      <c r="AL11" s="15"/>
      <c r="AM11" s="13">
        <f t="shared" si="13"/>
        <v>42.868238792899987</v>
      </c>
      <c r="AN11" s="15"/>
      <c r="AO11" s="13">
        <f t="shared" si="14"/>
        <v>40.688272385790412</v>
      </c>
      <c r="AP11" s="15"/>
      <c r="AQ11" s="13">
        <f t="shared" si="15"/>
        <v>51.868238792899987</v>
      </c>
      <c r="AR11" s="15"/>
      <c r="AS11" s="13">
        <f t="shared" si="16"/>
        <v>49.688272385790412</v>
      </c>
      <c r="AT11" s="15"/>
      <c r="AU11" s="13">
        <f t="shared" si="17"/>
        <v>61.868238792899987</v>
      </c>
      <c r="AV11" s="15"/>
      <c r="AW11" s="13">
        <f t="shared" si="18"/>
        <v>59.688272385790412</v>
      </c>
      <c r="AX11" s="15"/>
    </row>
    <row r="12" spans="2:50" ht="16.5" thickTop="1" thickBot="1" x14ac:dyDescent="0.3">
      <c r="B12" s="5"/>
      <c r="D12" s="11"/>
      <c r="E12" s="11"/>
      <c r="F12" s="1">
        <v>311.83</v>
      </c>
      <c r="G12" s="13">
        <f t="shared" si="0"/>
        <v>80.390157634105677</v>
      </c>
      <c r="H12" s="14"/>
      <c r="I12" s="13">
        <f>10*$G$24*LOG10(F9)+$G$26+10*$G$28*LOG10(3.4)+ $G$30</f>
        <v>91.083936763625275</v>
      </c>
      <c r="J12" s="14"/>
      <c r="K12" s="13">
        <f>G12+6</f>
        <v>86.390157634105677</v>
      </c>
      <c r="L12" s="14"/>
      <c r="M12" s="13">
        <f t="shared" si="1"/>
        <v>91.083936763625275</v>
      </c>
      <c r="N12" s="14"/>
      <c r="O12" s="13">
        <f t="shared" si="2"/>
        <v>-62.390157634105677</v>
      </c>
      <c r="P12" s="15"/>
      <c r="Q12" s="13">
        <f t="shared" si="3"/>
        <v>-67.083936763625275</v>
      </c>
      <c r="R12" s="15"/>
      <c r="S12" s="13">
        <f t="shared" si="4"/>
        <v>-53.390157634105677</v>
      </c>
      <c r="T12" s="15"/>
      <c r="U12" s="13">
        <f t="shared" si="5"/>
        <v>-58.083936763625275</v>
      </c>
      <c r="V12" s="15"/>
      <c r="W12" s="13">
        <f t="shared" si="6"/>
        <v>-43.390157634105677</v>
      </c>
      <c r="X12" s="15"/>
      <c r="Y12" s="13">
        <f t="shared" si="7"/>
        <v>-48.083936763625275</v>
      </c>
      <c r="Z12" s="15"/>
      <c r="AA12" s="13">
        <f t="shared" si="8"/>
        <v>32.609842365894323</v>
      </c>
      <c r="AB12" s="15"/>
      <c r="AC12" s="13">
        <f t="shared" si="9"/>
        <v>27.916063236374725</v>
      </c>
      <c r="AD12" s="15"/>
      <c r="AE12" s="13">
        <f t="shared" si="19"/>
        <v>41.609842365894323</v>
      </c>
      <c r="AF12" s="15"/>
      <c r="AG12" s="13">
        <f t="shared" si="10"/>
        <v>36.916063236374725</v>
      </c>
      <c r="AH12" s="15"/>
      <c r="AI12" s="13">
        <f t="shared" si="11"/>
        <v>51.609842365894323</v>
      </c>
      <c r="AJ12" s="15"/>
      <c r="AK12" s="13">
        <f t="shared" si="12"/>
        <v>46.916063236374725</v>
      </c>
      <c r="AL12" s="15"/>
      <c r="AM12" s="13">
        <f t="shared" si="13"/>
        <v>42.609842365894323</v>
      </c>
      <c r="AN12" s="15"/>
      <c r="AO12" s="13">
        <f t="shared" si="14"/>
        <v>37.916063236374725</v>
      </c>
      <c r="AP12" s="15"/>
      <c r="AQ12" s="13">
        <f t="shared" si="15"/>
        <v>51.609842365894323</v>
      </c>
      <c r="AR12" s="15"/>
      <c r="AS12" s="13">
        <f t="shared" si="16"/>
        <v>46.916063236374725</v>
      </c>
      <c r="AT12" s="15"/>
      <c r="AU12" s="13">
        <f t="shared" si="17"/>
        <v>61.609842365894323</v>
      </c>
      <c r="AV12" s="15"/>
      <c r="AW12" s="13">
        <f t="shared" si="18"/>
        <v>56.916063236374725</v>
      </c>
      <c r="AX12" s="15"/>
    </row>
    <row r="13" spans="2:50" ht="16.5" thickTop="1" thickBot="1" x14ac:dyDescent="0.3">
      <c r="D13" s="11"/>
      <c r="E13" s="11"/>
      <c r="F13" s="1">
        <v>331.88</v>
      </c>
      <c r="G13" s="13">
        <f t="shared" si="0"/>
        <v>80.931421368224846</v>
      </c>
      <c r="H13" s="14"/>
      <c r="I13" s="13">
        <f>10*$G$24*LOG10(F10)+$G$26+10*$G$28*LOG10(3.4)+ $G$30</f>
        <v>94.525993939585263</v>
      </c>
      <c r="J13" s="14"/>
      <c r="K13" s="13">
        <f>G13+6</f>
        <v>86.931421368224846</v>
      </c>
      <c r="L13" s="14"/>
      <c r="M13" s="13">
        <f t="shared" si="1"/>
        <v>94.525993939585263</v>
      </c>
      <c r="N13" s="14"/>
      <c r="O13" s="13">
        <f t="shared" si="2"/>
        <v>-62.931421368224846</v>
      </c>
      <c r="P13" s="15"/>
      <c r="Q13" s="13">
        <f t="shared" si="3"/>
        <v>-70.525993939585263</v>
      </c>
      <c r="R13" s="15"/>
      <c r="S13" s="13">
        <f t="shared" si="4"/>
        <v>-53.931421368224846</v>
      </c>
      <c r="T13" s="15"/>
      <c r="U13" s="13">
        <f t="shared" si="5"/>
        <v>-61.525993939585263</v>
      </c>
      <c r="V13" s="15"/>
      <c r="W13" s="13">
        <f t="shared" si="6"/>
        <v>-43.931421368224846</v>
      </c>
      <c r="X13" s="15"/>
      <c r="Y13" s="13">
        <f t="shared" si="7"/>
        <v>-51.525993939585263</v>
      </c>
      <c r="Z13" s="15"/>
      <c r="AA13" s="13">
        <f t="shared" si="8"/>
        <v>32.068578631775154</v>
      </c>
      <c r="AB13" s="15"/>
      <c r="AC13" s="13">
        <f t="shared" si="9"/>
        <v>24.474006060414737</v>
      </c>
      <c r="AD13" s="15"/>
      <c r="AE13" s="13">
        <f t="shared" si="19"/>
        <v>41.068578631775154</v>
      </c>
      <c r="AF13" s="15"/>
      <c r="AG13" s="13">
        <f t="shared" si="10"/>
        <v>33.474006060414737</v>
      </c>
      <c r="AH13" s="15"/>
      <c r="AI13" s="13">
        <f t="shared" si="11"/>
        <v>51.068578631775154</v>
      </c>
      <c r="AJ13" s="15"/>
      <c r="AK13" s="13">
        <f t="shared" si="12"/>
        <v>43.474006060414737</v>
      </c>
      <c r="AL13" s="15"/>
      <c r="AM13" s="13">
        <f t="shared" si="13"/>
        <v>42.068578631775154</v>
      </c>
      <c r="AN13" s="15"/>
      <c r="AO13" s="13">
        <f t="shared" si="14"/>
        <v>34.474006060414737</v>
      </c>
      <c r="AP13" s="15"/>
      <c r="AQ13" s="13">
        <f t="shared" si="15"/>
        <v>51.068578631775154</v>
      </c>
      <c r="AR13" s="15"/>
      <c r="AS13" s="13">
        <f t="shared" si="16"/>
        <v>43.474006060414737</v>
      </c>
      <c r="AT13" s="15"/>
      <c r="AU13" s="13">
        <f t="shared" si="17"/>
        <v>61.068578631775154</v>
      </c>
      <c r="AV13" s="15"/>
      <c r="AW13" s="13">
        <f t="shared" si="18"/>
        <v>53.474006060414737</v>
      </c>
      <c r="AX13" s="15"/>
    </row>
    <row r="14" spans="2:50" ht="16.5" thickTop="1" thickBot="1" x14ac:dyDescent="0.3">
      <c r="D14" s="11" t="s">
        <v>9</v>
      </c>
      <c r="E14" s="11"/>
      <c r="F14" s="1">
        <v>335.45</v>
      </c>
      <c r="G14" s="13">
        <f t="shared" si="0"/>
        <v>81.024355664076637</v>
      </c>
      <c r="H14" s="14"/>
      <c r="I14" s="13">
        <f>10*$J$24*LOG10(F8)+$J$26+10*$J$28*LOG10(3.4)+ $J$30</f>
        <v>118.23274007660002</v>
      </c>
      <c r="J14" s="14"/>
      <c r="K14" s="13">
        <f>G14+30</f>
        <v>111.02435566407664</v>
      </c>
      <c r="L14" s="14"/>
      <c r="M14" s="13">
        <f t="shared" si="1"/>
        <v>118.23274007660002</v>
      </c>
      <c r="N14" s="14"/>
      <c r="O14" s="13">
        <f t="shared" si="2"/>
        <v>-87.024355664076637</v>
      </c>
      <c r="P14" s="15"/>
      <c r="Q14" s="13">
        <f t="shared" si="3"/>
        <v>-94.232740076600024</v>
      </c>
      <c r="R14" s="15"/>
      <c r="S14" s="13">
        <f t="shared" si="4"/>
        <v>-78.024355664076637</v>
      </c>
      <c r="T14" s="15"/>
      <c r="U14" s="13">
        <f t="shared" si="5"/>
        <v>-85.232740076600024</v>
      </c>
      <c r="V14" s="15"/>
      <c r="W14" s="13">
        <f t="shared" si="6"/>
        <v>-68.024355664076637</v>
      </c>
      <c r="X14" s="15"/>
      <c r="Y14" s="13">
        <f t="shared" si="7"/>
        <v>-75.232740076600024</v>
      </c>
      <c r="Z14" s="15"/>
      <c r="AA14" s="13">
        <f t="shared" si="8"/>
        <v>7.9756443359233629</v>
      </c>
      <c r="AB14" s="15"/>
      <c r="AC14" s="13">
        <f t="shared" si="9"/>
        <v>0.76725992339997617</v>
      </c>
      <c r="AD14" s="15"/>
      <c r="AE14" s="13">
        <f t="shared" si="19"/>
        <v>16.975644335923363</v>
      </c>
      <c r="AF14" s="15"/>
      <c r="AG14" s="13">
        <f t="shared" si="10"/>
        <v>9.7672599233999762</v>
      </c>
      <c r="AH14" s="15"/>
      <c r="AI14" s="13">
        <f t="shared" si="11"/>
        <v>26.975644335923363</v>
      </c>
      <c r="AJ14" s="15"/>
      <c r="AK14" s="13">
        <f t="shared" si="12"/>
        <v>19.767259923399976</v>
      </c>
      <c r="AL14" s="15"/>
      <c r="AM14" s="13">
        <f t="shared" si="13"/>
        <v>17.975644335923363</v>
      </c>
      <c r="AN14" s="15"/>
      <c r="AO14" s="13">
        <f t="shared" si="14"/>
        <v>10.767259923399976</v>
      </c>
      <c r="AP14" s="15"/>
      <c r="AQ14" s="13">
        <f t="shared" si="15"/>
        <v>26.975644335923363</v>
      </c>
      <c r="AR14" s="15"/>
      <c r="AS14" s="13">
        <f t="shared" si="16"/>
        <v>19.767259923399976</v>
      </c>
      <c r="AT14" s="15"/>
      <c r="AU14" s="13">
        <f t="shared" si="17"/>
        <v>36.975644335923363</v>
      </c>
      <c r="AV14" s="15"/>
      <c r="AW14" s="13">
        <f t="shared" si="18"/>
        <v>29.767259923399976</v>
      </c>
      <c r="AX14" s="15"/>
    </row>
    <row r="15" spans="2:50" ht="16.5" thickTop="1" thickBot="1" x14ac:dyDescent="0.3">
      <c r="D15" s="11"/>
      <c r="E15" s="11"/>
      <c r="F15" s="1">
        <v>320.77999999999997</v>
      </c>
      <c r="G15" s="13">
        <f t="shared" si="0"/>
        <v>80.635945400883983</v>
      </c>
      <c r="H15" s="14"/>
      <c r="I15" s="13">
        <f>10*$J$24*LOG10(F9)+$J$26+10*$J$28*LOG10(3.4)+ $J$30</f>
        <v>121.69800151336962</v>
      </c>
      <c r="J15" s="14"/>
      <c r="K15" s="13">
        <f>G15+30</f>
        <v>110.63594540088398</v>
      </c>
      <c r="L15" s="14"/>
      <c r="M15" s="13">
        <f t="shared" si="1"/>
        <v>121.69800151336962</v>
      </c>
      <c r="N15" s="14"/>
      <c r="O15" s="13">
        <f t="shared" si="2"/>
        <v>-86.635945400883983</v>
      </c>
      <c r="P15" s="15"/>
      <c r="Q15" s="13">
        <f t="shared" si="3"/>
        <v>-97.698001513369618</v>
      </c>
      <c r="R15" s="15"/>
      <c r="S15" s="13">
        <f t="shared" si="4"/>
        <v>-77.635945400883983</v>
      </c>
      <c r="T15" s="15"/>
      <c r="U15" s="13">
        <f t="shared" si="5"/>
        <v>-88.698001513369618</v>
      </c>
      <c r="V15" s="15"/>
      <c r="W15" s="13">
        <f t="shared" si="6"/>
        <v>-67.635945400883983</v>
      </c>
      <c r="X15" s="15"/>
      <c r="Y15" s="13">
        <f t="shared" si="7"/>
        <v>-78.698001513369618</v>
      </c>
      <c r="Z15" s="15"/>
      <c r="AA15" s="13">
        <f t="shared" si="8"/>
        <v>8.3640545991160167</v>
      </c>
      <c r="AB15" s="15"/>
      <c r="AC15" s="13">
        <f t="shared" si="9"/>
        <v>-2.6980015133696185</v>
      </c>
      <c r="AD15" s="15"/>
      <c r="AE15" s="13">
        <f t="shared" si="19"/>
        <v>17.364054599116017</v>
      </c>
      <c r="AF15" s="15"/>
      <c r="AG15" s="13">
        <f t="shared" si="10"/>
        <v>6.3019984866303815</v>
      </c>
      <c r="AH15" s="15"/>
      <c r="AI15" s="13">
        <f t="shared" si="11"/>
        <v>27.364054599116017</v>
      </c>
      <c r="AJ15" s="15"/>
      <c r="AK15" s="13">
        <f t="shared" si="12"/>
        <v>16.301998486630382</v>
      </c>
      <c r="AL15" s="15"/>
      <c r="AM15" s="13">
        <f t="shared" si="13"/>
        <v>18.364054599116017</v>
      </c>
      <c r="AN15" s="15"/>
      <c r="AO15" s="13">
        <f t="shared" si="14"/>
        <v>7.3019984866303815</v>
      </c>
      <c r="AP15" s="15"/>
      <c r="AQ15" s="13">
        <f t="shared" si="15"/>
        <v>27.364054599116017</v>
      </c>
      <c r="AR15" s="15"/>
      <c r="AS15" s="13">
        <f t="shared" si="16"/>
        <v>16.301998486630382</v>
      </c>
      <c r="AT15" s="15"/>
      <c r="AU15" s="13">
        <f t="shared" si="17"/>
        <v>37.364054599116017</v>
      </c>
      <c r="AV15" s="15"/>
      <c r="AW15" s="13">
        <f t="shared" si="18"/>
        <v>26.301998486630382</v>
      </c>
      <c r="AX15" s="15"/>
    </row>
    <row r="16" spans="2:50" ht="16.5" thickTop="1" thickBot="1" x14ac:dyDescent="0.3">
      <c r="D16" s="11"/>
      <c r="E16" s="16"/>
      <c r="F16" s="1">
        <v>349.34</v>
      </c>
      <c r="G16" s="13">
        <f t="shared" si="0"/>
        <v>81.376766058070757</v>
      </c>
      <c r="H16" s="14"/>
      <c r="I16" s="13">
        <f>10*$J$24*LOG10(F10)+$J$26+10*$J$28*LOG10(3.4)+ $J$30</f>
        <v>126.0005729833196</v>
      </c>
      <c r="J16" s="14"/>
      <c r="K16" s="13">
        <f>G16+30</f>
        <v>111.37676605807076</v>
      </c>
      <c r="L16" s="14"/>
      <c r="M16" s="13">
        <f t="shared" si="1"/>
        <v>126.0005729833196</v>
      </c>
      <c r="N16" s="14"/>
      <c r="O16" s="13">
        <f t="shared" si="2"/>
        <v>-87.376766058070757</v>
      </c>
      <c r="P16" s="15"/>
      <c r="Q16" s="13">
        <f t="shared" si="3"/>
        <v>-102.0005729833196</v>
      </c>
      <c r="R16" s="15"/>
      <c r="S16" s="13">
        <f t="shared" si="4"/>
        <v>-78.376766058070757</v>
      </c>
      <c r="T16" s="15"/>
      <c r="U16" s="13">
        <f t="shared" si="5"/>
        <v>-93.0005729833196</v>
      </c>
      <c r="V16" s="15"/>
      <c r="W16" s="13">
        <f t="shared" si="6"/>
        <v>-68.376766058070757</v>
      </c>
      <c r="X16" s="15"/>
      <c r="Y16" s="13">
        <f t="shared" si="7"/>
        <v>-83.0005729833196</v>
      </c>
      <c r="Z16" s="15"/>
      <c r="AA16" s="13">
        <f t="shared" si="8"/>
        <v>7.623233941929243</v>
      </c>
      <c r="AB16" s="15"/>
      <c r="AC16" s="13">
        <f t="shared" si="9"/>
        <v>-7.0005729833196</v>
      </c>
      <c r="AD16" s="15"/>
      <c r="AE16" s="13">
        <f t="shared" si="19"/>
        <v>16.623233941929243</v>
      </c>
      <c r="AF16" s="15"/>
      <c r="AG16" s="13">
        <f t="shared" si="10"/>
        <v>1.9994270166804</v>
      </c>
      <c r="AH16" s="15"/>
      <c r="AI16" s="13">
        <f t="shared" si="11"/>
        <v>26.623233941929243</v>
      </c>
      <c r="AJ16" s="15"/>
      <c r="AK16" s="13">
        <f t="shared" si="12"/>
        <v>11.9994270166804</v>
      </c>
      <c r="AL16" s="15"/>
      <c r="AM16" s="13">
        <f t="shared" si="13"/>
        <v>17.623233941929243</v>
      </c>
      <c r="AN16" s="15"/>
      <c r="AO16" s="13">
        <f t="shared" si="14"/>
        <v>2.9994270166804</v>
      </c>
      <c r="AP16" s="15"/>
      <c r="AQ16" s="13">
        <f t="shared" si="15"/>
        <v>26.623233941929243</v>
      </c>
      <c r="AR16" s="15"/>
      <c r="AS16" s="13">
        <f t="shared" si="16"/>
        <v>11.9994270166804</v>
      </c>
      <c r="AT16" s="15"/>
      <c r="AU16" s="13">
        <f t="shared" si="17"/>
        <v>36.623233941929243</v>
      </c>
      <c r="AV16" s="15"/>
      <c r="AW16" s="13">
        <f t="shared" si="18"/>
        <v>21.9994270166804</v>
      </c>
      <c r="AX16" s="15"/>
    </row>
    <row r="17" spans="3:51" ht="16.5" thickTop="1" thickBot="1" x14ac:dyDescent="0.3">
      <c r="E17" s="3"/>
      <c r="F17" s="4" t="s">
        <v>3</v>
      </c>
      <c r="G17" s="30" t="s">
        <v>6</v>
      </c>
      <c r="H17" s="31"/>
      <c r="I17" s="31"/>
      <c r="J17" s="31"/>
      <c r="K17" s="31"/>
      <c r="L17" s="31"/>
      <c r="M17" s="31"/>
      <c r="N17" s="32"/>
      <c r="O17" s="33" t="s">
        <v>7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4" t="s">
        <v>7</v>
      </c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6"/>
    </row>
    <row r="18" spans="3:51" ht="16.5" thickTop="1" thickBot="1" x14ac:dyDescent="0.3">
      <c r="F18" s="3"/>
      <c r="G18" s="17" t="s">
        <v>8</v>
      </c>
      <c r="H18" s="18"/>
      <c r="I18" s="19" t="s">
        <v>20</v>
      </c>
      <c r="J18" s="18"/>
      <c r="K18" s="20" t="s">
        <v>15</v>
      </c>
      <c r="L18" s="21"/>
      <c r="M18" s="21"/>
      <c r="N18" s="21"/>
      <c r="O18" s="22" t="s">
        <v>16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3" t="s">
        <v>28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5"/>
    </row>
    <row r="19" spans="3:51" ht="15.75" thickTop="1" x14ac:dyDescent="0.25"/>
    <row r="20" spans="3:51" ht="15.75" thickBot="1" x14ac:dyDescent="0.3"/>
    <row r="21" spans="3:51" ht="16.5" thickTop="1" thickBot="1" x14ac:dyDescent="0.3">
      <c r="D21" s="11" t="s">
        <v>11</v>
      </c>
      <c r="E21" s="11"/>
      <c r="G21" s="26" t="s">
        <v>10</v>
      </c>
      <c r="H21" s="27"/>
      <c r="J21" s="11" t="s">
        <v>9</v>
      </c>
      <c r="K21" s="11"/>
    </row>
    <row r="22" spans="3:51" ht="16.5" thickTop="1" thickBot="1" x14ac:dyDescent="0.3">
      <c r="D22" s="11"/>
      <c r="E22" s="11"/>
      <c r="G22" s="28"/>
      <c r="H22" s="29"/>
      <c r="J22" s="11"/>
      <c r="K22" s="11"/>
    </row>
    <row r="23" spans="3:51" ht="16.5" thickTop="1" thickBot="1" x14ac:dyDescent="0.3">
      <c r="D23" s="16"/>
      <c r="E23" s="16"/>
      <c r="G23" s="28"/>
      <c r="H23" s="29"/>
      <c r="J23" s="11"/>
      <c r="K23" s="11"/>
    </row>
    <row r="24" spans="3:51" ht="15.75" thickTop="1" x14ac:dyDescent="0.25">
      <c r="C24" s="36" t="s">
        <v>12</v>
      </c>
      <c r="D24" s="42">
        <v>2</v>
      </c>
      <c r="E24" s="43"/>
      <c r="G24" s="42">
        <v>2.8</v>
      </c>
      <c r="H24" s="43"/>
      <c r="J24" s="42">
        <v>3.5</v>
      </c>
      <c r="K24" s="43"/>
    </row>
    <row r="25" spans="3:51" ht="15.75" thickBot="1" x14ac:dyDescent="0.3">
      <c r="C25" s="37"/>
      <c r="D25" s="44"/>
      <c r="E25" s="45"/>
      <c r="G25" s="44"/>
      <c r="H25" s="45"/>
      <c r="I25" s="2"/>
      <c r="J25" s="44"/>
      <c r="K25" s="45"/>
      <c r="Y25" t="s">
        <v>22</v>
      </c>
    </row>
    <row r="26" spans="3:51" ht="15.75" thickTop="1" x14ac:dyDescent="0.25">
      <c r="C26" s="36" t="s">
        <v>13</v>
      </c>
      <c r="D26" s="38">
        <v>31.4</v>
      </c>
      <c r="E26" s="39"/>
      <c r="G26" s="38">
        <v>11.4</v>
      </c>
      <c r="H26" s="39"/>
      <c r="J26" s="38">
        <v>24.4</v>
      </c>
      <c r="K26" s="39"/>
    </row>
    <row r="27" spans="3:51" ht="15.75" thickBot="1" x14ac:dyDescent="0.3">
      <c r="C27" s="37"/>
      <c r="D27" s="44"/>
      <c r="E27" s="45"/>
      <c r="G27" s="44"/>
      <c r="H27" s="45"/>
      <c r="J27" s="44"/>
      <c r="K27" s="45"/>
    </row>
    <row r="28" spans="3:51" ht="15.75" thickTop="1" x14ac:dyDescent="0.25">
      <c r="C28" s="36" t="s">
        <v>14</v>
      </c>
      <c r="D28" s="38">
        <v>2.1</v>
      </c>
      <c r="E28" s="39"/>
      <c r="G28" s="38">
        <v>2.2999999999999998</v>
      </c>
      <c r="H28" s="39"/>
      <c r="J28" s="38">
        <v>1.9</v>
      </c>
      <c r="K28" s="39"/>
    </row>
    <row r="29" spans="3:51" ht="15.75" thickBot="1" x14ac:dyDescent="0.3">
      <c r="C29" s="37"/>
      <c r="D29" s="40"/>
      <c r="E29" s="41"/>
      <c r="G29" s="40"/>
      <c r="H29" s="41"/>
      <c r="J29" s="40"/>
      <c r="K29" s="41"/>
    </row>
    <row r="30" spans="3:51" ht="15.75" thickTop="1" x14ac:dyDescent="0.25">
      <c r="C30" s="36" t="s">
        <v>21</v>
      </c>
      <c r="D30" s="38">
        <v>2.9</v>
      </c>
      <c r="E30" s="39"/>
      <c r="G30" s="38">
        <v>4.0999999999999996</v>
      </c>
      <c r="H30" s="39"/>
      <c r="J30" s="38">
        <v>8</v>
      </c>
      <c r="K30" s="39"/>
    </row>
    <row r="31" spans="3:51" ht="15.75" thickBot="1" x14ac:dyDescent="0.3">
      <c r="C31" s="37"/>
      <c r="D31" s="40"/>
      <c r="E31" s="41"/>
      <c r="G31" s="40"/>
      <c r="H31" s="41"/>
      <c r="J31" s="40"/>
      <c r="K31" s="41"/>
    </row>
  </sheetData>
  <mergeCells count="264">
    <mergeCell ref="C28:C29"/>
    <mergeCell ref="D28:E29"/>
    <mergeCell ref="G28:H29"/>
    <mergeCell ref="J28:K29"/>
    <mergeCell ref="C30:C31"/>
    <mergeCell ref="D30:E31"/>
    <mergeCell ref="G30:H31"/>
    <mergeCell ref="J30:K31"/>
    <mergeCell ref="C24:C25"/>
    <mergeCell ref="D24:E25"/>
    <mergeCell ref="G24:H25"/>
    <mergeCell ref="J24:K25"/>
    <mergeCell ref="C26:C27"/>
    <mergeCell ref="D26:E27"/>
    <mergeCell ref="G26:H27"/>
    <mergeCell ref="J26:K27"/>
    <mergeCell ref="G18:H18"/>
    <mergeCell ref="I18:J18"/>
    <mergeCell ref="K18:N18"/>
    <mergeCell ref="O18:Z18"/>
    <mergeCell ref="AA18:AX18"/>
    <mergeCell ref="D21:E23"/>
    <mergeCell ref="G21:H23"/>
    <mergeCell ref="J21:K23"/>
    <mergeCell ref="AO16:AP16"/>
    <mergeCell ref="AQ16:AR16"/>
    <mergeCell ref="AS16:AT16"/>
    <mergeCell ref="AU16:AV16"/>
    <mergeCell ref="AW16:AX16"/>
    <mergeCell ref="G17:N17"/>
    <mergeCell ref="O17:Z17"/>
    <mergeCell ref="AA17:AX17"/>
    <mergeCell ref="AC16:AD16"/>
    <mergeCell ref="AE16:AF16"/>
    <mergeCell ref="AG16:AH16"/>
    <mergeCell ref="AI16:AJ16"/>
    <mergeCell ref="AK16:AL16"/>
    <mergeCell ref="AM16:AN16"/>
    <mergeCell ref="Q16:R16"/>
    <mergeCell ref="S16:T16"/>
    <mergeCell ref="W16:X16"/>
    <mergeCell ref="Y16:Z16"/>
    <mergeCell ref="AA16:AB16"/>
    <mergeCell ref="AO15:AP15"/>
    <mergeCell ref="AQ15:AR15"/>
    <mergeCell ref="AS15:AT15"/>
    <mergeCell ref="AU15:AV15"/>
    <mergeCell ref="AW15:AX15"/>
    <mergeCell ref="AK15:AL15"/>
    <mergeCell ref="AM15:AN15"/>
    <mergeCell ref="AK14:AL14"/>
    <mergeCell ref="AM14:AN14"/>
    <mergeCell ref="Q14:R14"/>
    <mergeCell ref="S14:T14"/>
    <mergeCell ref="U14:V14"/>
    <mergeCell ref="W14:X14"/>
    <mergeCell ref="Y14:Z14"/>
    <mergeCell ref="AA14:AB14"/>
    <mergeCell ref="G16:H16"/>
    <mergeCell ref="I16:J16"/>
    <mergeCell ref="K16:L16"/>
    <mergeCell ref="M16:N16"/>
    <mergeCell ref="O16:P16"/>
    <mergeCell ref="AC15:AD15"/>
    <mergeCell ref="AE15:AF15"/>
    <mergeCell ref="AG15:AH15"/>
    <mergeCell ref="AI15:AJ15"/>
    <mergeCell ref="Q15:R15"/>
    <mergeCell ref="S15:T15"/>
    <mergeCell ref="U15:V15"/>
    <mergeCell ref="W15:X15"/>
    <mergeCell ref="Y15:Z15"/>
    <mergeCell ref="AA15:AB15"/>
    <mergeCell ref="U16:V16"/>
    <mergeCell ref="G15:H15"/>
    <mergeCell ref="I15:J15"/>
    <mergeCell ref="K15:L15"/>
    <mergeCell ref="M15:N15"/>
    <mergeCell ref="O15:P15"/>
    <mergeCell ref="AC14:AD14"/>
    <mergeCell ref="AE14:AF14"/>
    <mergeCell ref="AG14:AH14"/>
    <mergeCell ref="AI14:AJ14"/>
    <mergeCell ref="AW13:AX13"/>
    <mergeCell ref="D14:E16"/>
    <mergeCell ref="G14:H14"/>
    <mergeCell ref="I14:J14"/>
    <mergeCell ref="K14:L14"/>
    <mergeCell ref="M14:N14"/>
    <mergeCell ref="O14:P14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AO14:AP14"/>
    <mergeCell ref="AQ14:AR14"/>
    <mergeCell ref="AS14:AT14"/>
    <mergeCell ref="AU14:AV14"/>
    <mergeCell ref="AW14:AX14"/>
    <mergeCell ref="AW12:AX12"/>
    <mergeCell ref="G13:H13"/>
    <mergeCell ref="I13:J13"/>
    <mergeCell ref="K13:L13"/>
    <mergeCell ref="M13:N13"/>
    <mergeCell ref="O13:P13"/>
    <mergeCell ref="Q13:R13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G12:H12"/>
    <mergeCell ref="I12:J12"/>
    <mergeCell ref="AQ13:AR13"/>
    <mergeCell ref="AS13:AT13"/>
    <mergeCell ref="AU13:AV13"/>
    <mergeCell ref="K12:L12"/>
    <mergeCell ref="M12:N12"/>
    <mergeCell ref="O12:P12"/>
    <mergeCell ref="Q12:R12"/>
    <mergeCell ref="AM11:AN11"/>
    <mergeCell ref="AO11:AP11"/>
    <mergeCell ref="AQ11:AR11"/>
    <mergeCell ref="AS11:AT11"/>
    <mergeCell ref="AU11:AV11"/>
    <mergeCell ref="AQ12:AR12"/>
    <mergeCell ref="AS12:AT12"/>
    <mergeCell ref="AU12:AV12"/>
    <mergeCell ref="AG11:AH11"/>
    <mergeCell ref="AI11:AJ11"/>
    <mergeCell ref="AK11:AL11"/>
    <mergeCell ref="O11:P11"/>
    <mergeCell ref="Q11:R11"/>
    <mergeCell ref="S11:T11"/>
    <mergeCell ref="U11:V11"/>
    <mergeCell ref="W11:X11"/>
    <mergeCell ref="Y11:Z11"/>
    <mergeCell ref="AS10:AT10"/>
    <mergeCell ref="AU10:AV10"/>
    <mergeCell ref="AW10:AX10"/>
    <mergeCell ref="D11:E13"/>
    <mergeCell ref="G11:H11"/>
    <mergeCell ref="I11:J11"/>
    <mergeCell ref="K11:L11"/>
    <mergeCell ref="M11:N11"/>
    <mergeCell ref="AC10:AD10"/>
    <mergeCell ref="AE10:AF10"/>
    <mergeCell ref="AG10:AH10"/>
    <mergeCell ref="AI10:AJ10"/>
    <mergeCell ref="AK10:AL10"/>
    <mergeCell ref="AM10:AN10"/>
    <mergeCell ref="Q10:R10"/>
    <mergeCell ref="S10:T10"/>
    <mergeCell ref="U10:V10"/>
    <mergeCell ref="W10:X10"/>
    <mergeCell ref="Y10:Z10"/>
    <mergeCell ref="AA10:AB10"/>
    <mergeCell ref="AW11:AX11"/>
    <mergeCell ref="AA11:AB11"/>
    <mergeCell ref="AC11:AD11"/>
    <mergeCell ref="AE11:AF11"/>
    <mergeCell ref="AM9:AN9"/>
    <mergeCell ref="Q9:R9"/>
    <mergeCell ref="S9:T9"/>
    <mergeCell ref="U9:V9"/>
    <mergeCell ref="W9:X9"/>
    <mergeCell ref="Y9:Z9"/>
    <mergeCell ref="AA9:AB9"/>
    <mergeCell ref="AO10:AP10"/>
    <mergeCell ref="AQ10:AR10"/>
    <mergeCell ref="G10:H10"/>
    <mergeCell ref="I10:J10"/>
    <mergeCell ref="K10:L10"/>
    <mergeCell ref="M10:N10"/>
    <mergeCell ref="O10:P10"/>
    <mergeCell ref="AC9:AD9"/>
    <mergeCell ref="AE9:AF9"/>
    <mergeCell ref="AG9:AH9"/>
    <mergeCell ref="AI9:AJ9"/>
    <mergeCell ref="AW8:AX8"/>
    <mergeCell ref="G9:H9"/>
    <mergeCell ref="I9:J9"/>
    <mergeCell ref="K9:L9"/>
    <mergeCell ref="M9:N9"/>
    <mergeCell ref="O9:P9"/>
    <mergeCell ref="AC8:AD8"/>
    <mergeCell ref="AE8:AF8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AO9:AP9"/>
    <mergeCell ref="AQ9:AR9"/>
    <mergeCell ref="AS9:AT9"/>
    <mergeCell ref="AU9:AV9"/>
    <mergeCell ref="AW9:AX9"/>
    <mergeCell ref="AK9:AL9"/>
    <mergeCell ref="AU6:AV7"/>
    <mergeCell ref="AW6:AX7"/>
    <mergeCell ref="D8:E10"/>
    <mergeCell ref="G8:H8"/>
    <mergeCell ref="I8:J8"/>
    <mergeCell ref="K8:L8"/>
    <mergeCell ref="M8:N8"/>
    <mergeCell ref="O8:P8"/>
    <mergeCell ref="AE6:AF7"/>
    <mergeCell ref="AG6:AH7"/>
    <mergeCell ref="AI6:AJ7"/>
    <mergeCell ref="AK6:AL7"/>
    <mergeCell ref="AM6:AN7"/>
    <mergeCell ref="AO6:AP7"/>
    <mergeCell ref="S6:T7"/>
    <mergeCell ref="U6:V7"/>
    <mergeCell ref="W6:X7"/>
    <mergeCell ref="Y6:Z7"/>
    <mergeCell ref="AA6:AB7"/>
    <mergeCell ref="AC6:AD7"/>
    <mergeCell ref="AO8:AP8"/>
    <mergeCell ref="AQ8:AR8"/>
    <mergeCell ref="AS8:AT8"/>
    <mergeCell ref="AU8:AV8"/>
    <mergeCell ref="D6:F7"/>
    <mergeCell ref="G6:H7"/>
    <mergeCell ref="I6:J7"/>
    <mergeCell ref="K6:L7"/>
    <mergeCell ref="M6:N7"/>
    <mergeCell ref="O6:P7"/>
    <mergeCell ref="Q6:R7"/>
    <mergeCell ref="AQ6:AR7"/>
    <mergeCell ref="AS6:AT7"/>
    <mergeCell ref="AA3:AL3"/>
    <mergeCell ref="AM3:AX3"/>
    <mergeCell ref="G4:J5"/>
    <mergeCell ref="K4:N5"/>
    <mergeCell ref="O4:R5"/>
    <mergeCell ref="S4:V5"/>
    <mergeCell ref="W4:Z5"/>
    <mergeCell ref="AA4:AD5"/>
    <mergeCell ref="AE4:AH5"/>
    <mergeCell ref="AI4:AL5"/>
    <mergeCell ref="AM4:AP5"/>
    <mergeCell ref="AQ4:AT5"/>
    <mergeCell ref="AU4:AX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F351-C87C-46FA-ABE8-0017939C7B5C}">
  <dimension ref="B3:AY31"/>
  <sheetViews>
    <sheetView topLeftCell="E1" zoomScale="70" zoomScaleNormal="70" workbookViewId="0">
      <selection activeCell="AB30" sqref="AB30"/>
    </sheetView>
  </sheetViews>
  <sheetFormatPr defaultRowHeight="15" x14ac:dyDescent="0.25"/>
  <cols>
    <col min="3" max="3" width="9.140625" customWidth="1"/>
    <col min="6" max="6" width="9" customWidth="1"/>
    <col min="7" max="7" width="19" customWidth="1"/>
    <col min="8" max="8" width="17.28515625" customWidth="1"/>
    <col min="10" max="10" width="41" customWidth="1"/>
  </cols>
  <sheetData>
    <row r="3" spans="2:50" ht="15.75" thickBot="1" x14ac:dyDescent="0.3">
      <c r="AA3" s="7" t="s">
        <v>26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 t="s">
        <v>27</v>
      </c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2:50" ht="16.5" thickTop="1" thickBot="1" x14ac:dyDescent="0.3">
      <c r="G4" s="8" t="s">
        <v>1</v>
      </c>
      <c r="H4" s="8"/>
      <c r="I4" s="8"/>
      <c r="J4" s="8"/>
      <c r="K4" s="8" t="s">
        <v>2</v>
      </c>
      <c r="L4" s="8"/>
      <c r="M4" s="8"/>
      <c r="N4" s="8"/>
      <c r="O4" s="9" t="s">
        <v>17</v>
      </c>
      <c r="P4" s="9"/>
      <c r="Q4" s="9"/>
      <c r="R4" s="9"/>
      <c r="S4" s="9" t="s">
        <v>18</v>
      </c>
      <c r="T4" s="9"/>
      <c r="U4" s="9"/>
      <c r="V4" s="9"/>
      <c r="W4" s="9" t="s">
        <v>19</v>
      </c>
      <c r="X4" s="9"/>
      <c r="Y4" s="9"/>
      <c r="Z4" s="9"/>
      <c r="AA4" s="10" t="s">
        <v>23</v>
      </c>
      <c r="AB4" s="10"/>
      <c r="AC4" s="10"/>
      <c r="AD4" s="10"/>
      <c r="AE4" s="10" t="s">
        <v>24</v>
      </c>
      <c r="AF4" s="10"/>
      <c r="AG4" s="10"/>
      <c r="AH4" s="10"/>
      <c r="AI4" s="10" t="s">
        <v>25</v>
      </c>
      <c r="AJ4" s="10"/>
      <c r="AK4" s="10"/>
      <c r="AL4" s="10"/>
      <c r="AM4" s="10" t="s">
        <v>23</v>
      </c>
      <c r="AN4" s="10"/>
      <c r="AO4" s="10"/>
      <c r="AP4" s="10"/>
      <c r="AQ4" s="10" t="s">
        <v>24</v>
      </c>
      <c r="AR4" s="10"/>
      <c r="AS4" s="10"/>
      <c r="AT4" s="10"/>
      <c r="AU4" s="10" t="s">
        <v>25</v>
      </c>
      <c r="AV4" s="10"/>
      <c r="AW4" s="10"/>
      <c r="AX4" s="10"/>
    </row>
    <row r="5" spans="2:50" ht="16.5" thickTop="1" thickBot="1" x14ac:dyDescent="0.3">
      <c r="G5" s="8"/>
      <c r="H5" s="8"/>
      <c r="I5" s="8"/>
      <c r="J5" s="8"/>
      <c r="K5" s="8"/>
      <c r="L5" s="8"/>
      <c r="M5" s="8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 spans="2:50" ht="16.5" thickTop="1" thickBot="1" x14ac:dyDescent="0.3">
      <c r="D6" s="11" t="s">
        <v>0</v>
      </c>
      <c r="E6" s="11"/>
      <c r="F6" s="11"/>
      <c r="G6" s="12" t="s">
        <v>4</v>
      </c>
      <c r="H6" s="12"/>
      <c r="I6" s="11" t="s">
        <v>5</v>
      </c>
      <c r="J6" s="11"/>
      <c r="K6" s="12" t="s">
        <v>4</v>
      </c>
      <c r="L6" s="12"/>
      <c r="M6" s="11" t="s">
        <v>5</v>
      </c>
      <c r="N6" s="11"/>
      <c r="O6" s="12" t="s">
        <v>4</v>
      </c>
      <c r="P6" s="12"/>
      <c r="Q6" s="11" t="s">
        <v>5</v>
      </c>
      <c r="R6" s="11"/>
      <c r="S6" s="12" t="s">
        <v>4</v>
      </c>
      <c r="T6" s="12"/>
      <c r="U6" s="11" t="s">
        <v>5</v>
      </c>
      <c r="V6" s="11"/>
      <c r="W6" s="12" t="s">
        <v>4</v>
      </c>
      <c r="X6" s="12"/>
      <c r="Y6" s="11" t="s">
        <v>5</v>
      </c>
      <c r="Z6" s="11"/>
      <c r="AA6" s="12" t="s">
        <v>4</v>
      </c>
      <c r="AB6" s="12"/>
      <c r="AC6" s="11" t="s">
        <v>5</v>
      </c>
      <c r="AD6" s="11"/>
      <c r="AE6" s="12" t="s">
        <v>4</v>
      </c>
      <c r="AF6" s="12"/>
      <c r="AG6" s="11" t="s">
        <v>5</v>
      </c>
      <c r="AH6" s="11"/>
      <c r="AI6" s="12" t="s">
        <v>4</v>
      </c>
      <c r="AJ6" s="12"/>
      <c r="AK6" s="11" t="s">
        <v>5</v>
      </c>
      <c r="AL6" s="11"/>
      <c r="AM6" s="12" t="s">
        <v>4</v>
      </c>
      <c r="AN6" s="12"/>
      <c r="AO6" s="11" t="s">
        <v>5</v>
      </c>
      <c r="AP6" s="11"/>
      <c r="AQ6" s="12" t="s">
        <v>4</v>
      </c>
      <c r="AR6" s="12"/>
      <c r="AS6" s="11" t="s">
        <v>5</v>
      </c>
      <c r="AT6" s="11"/>
      <c r="AU6" s="12" t="s">
        <v>4</v>
      </c>
      <c r="AV6" s="12"/>
      <c r="AW6" s="11" t="s">
        <v>5</v>
      </c>
      <c r="AX6" s="11"/>
    </row>
    <row r="7" spans="2:50" ht="16.5" thickTop="1" thickBot="1" x14ac:dyDescent="0.3"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2:50" ht="16.5" thickTop="1" thickBot="1" x14ac:dyDescent="0.3">
      <c r="D8" s="11" t="s">
        <v>11</v>
      </c>
      <c r="E8" s="11"/>
      <c r="F8" s="1">
        <v>145.83000000000001</v>
      </c>
      <c r="G8" s="13">
        <f>32.45+20*LOG10(800)+20*LOG10(F8/1000)</f>
        <v>73.788737255722964</v>
      </c>
      <c r="H8" s="14"/>
      <c r="I8" s="13">
        <f>10*$D$24*LOG10(F8)+$D$26+10*$D$28*LOG10(3.4) +$D$30</f>
        <v>88.737994773771447</v>
      </c>
      <c r="J8" s="14"/>
      <c r="K8" s="13">
        <f>G8</f>
        <v>73.788737255722964</v>
      </c>
      <c r="L8" s="14"/>
      <c r="M8" s="13">
        <f>I8</f>
        <v>88.737994773771447</v>
      </c>
      <c r="N8" s="14"/>
      <c r="O8" s="13">
        <f>24-K8</f>
        <v>-49.788737255722964</v>
      </c>
      <c r="P8" s="15"/>
      <c r="Q8" s="13">
        <f>24-M8</f>
        <v>-64.737994773771447</v>
      </c>
      <c r="R8" s="15"/>
      <c r="S8" s="13">
        <f>33-K8</f>
        <v>-40.788737255722964</v>
      </c>
      <c r="T8" s="15"/>
      <c r="U8" s="13">
        <f>33-M8</f>
        <v>-55.737994773771447</v>
      </c>
      <c r="V8" s="15"/>
      <c r="W8" s="13">
        <f>43-K8</f>
        <v>-30.788737255722964</v>
      </c>
      <c r="X8" s="15"/>
      <c r="Y8" s="13">
        <f>43-M8</f>
        <v>-45.737994773771447</v>
      </c>
      <c r="Z8" s="15"/>
      <c r="AA8" s="13">
        <f>O8+95</f>
        <v>45.211262744277036</v>
      </c>
      <c r="AB8" s="15"/>
      <c r="AC8" s="13">
        <f>Q8+95</f>
        <v>30.262005226228553</v>
      </c>
      <c r="AD8" s="15"/>
      <c r="AE8" s="13">
        <f>S8+95</f>
        <v>54.211262744277036</v>
      </c>
      <c r="AF8" s="15"/>
      <c r="AG8" s="13">
        <f>U8+95</f>
        <v>39.262005226228553</v>
      </c>
      <c r="AH8" s="15"/>
      <c r="AI8" s="13">
        <f>W8+95</f>
        <v>64.211262744277036</v>
      </c>
      <c r="AJ8" s="15"/>
      <c r="AK8" s="13">
        <f>Y8+95</f>
        <v>49.262005226228553</v>
      </c>
      <c r="AL8" s="15"/>
      <c r="AM8" s="13">
        <f>O8+105</f>
        <v>55.211262744277036</v>
      </c>
      <c r="AN8" s="15"/>
      <c r="AO8" s="13">
        <f>Q8+105</f>
        <v>40.262005226228553</v>
      </c>
      <c r="AP8" s="15"/>
      <c r="AQ8" s="13">
        <f>S8+105</f>
        <v>64.211262744277036</v>
      </c>
      <c r="AR8" s="15"/>
      <c r="AS8" s="13">
        <f>U8+105</f>
        <v>49.262005226228553</v>
      </c>
      <c r="AT8" s="15"/>
      <c r="AU8" s="13">
        <f>W8+105</f>
        <v>74.211262744277036</v>
      </c>
      <c r="AV8" s="15"/>
      <c r="AW8" s="13">
        <f>Y8+105</f>
        <v>59.262005226228553</v>
      </c>
      <c r="AX8" s="15"/>
    </row>
    <row r="9" spans="2:50" ht="16.5" thickTop="1" thickBot="1" x14ac:dyDescent="0.3">
      <c r="D9" s="11"/>
      <c r="E9" s="11"/>
      <c r="F9" s="1">
        <v>183.17</v>
      </c>
      <c r="G9" s="13">
        <f t="shared" ref="G9:G16" si="0">32.45+20*LOG10(800)+20*LOG10(F9/1000)</f>
        <v>75.768886648162749</v>
      </c>
      <c r="H9" s="14"/>
      <c r="I9" s="13">
        <f>10*$D$24*LOG10(F9)+$D$26+10*$D$28*LOG10(3.4) +$D$30</f>
        <v>90.718144166211232</v>
      </c>
      <c r="J9" s="14"/>
      <c r="K9" s="13">
        <f>G9</f>
        <v>75.768886648162749</v>
      </c>
      <c r="L9" s="14"/>
      <c r="M9" s="13">
        <f t="shared" ref="M9:M16" si="1">I9</f>
        <v>90.718144166211232</v>
      </c>
      <c r="N9" s="14"/>
      <c r="O9" s="13">
        <f t="shared" ref="O9:O16" si="2">24-K9</f>
        <v>-51.768886648162749</v>
      </c>
      <c r="P9" s="15"/>
      <c r="Q9" s="13">
        <f t="shared" ref="Q9:Q16" si="3">24-M9</f>
        <v>-66.718144166211232</v>
      </c>
      <c r="R9" s="15"/>
      <c r="S9" s="13">
        <f t="shared" ref="S9:S16" si="4">33-K9</f>
        <v>-42.768886648162749</v>
      </c>
      <c r="T9" s="15"/>
      <c r="U9" s="13">
        <f t="shared" ref="U9:U16" si="5">33-M9</f>
        <v>-57.718144166211232</v>
      </c>
      <c r="V9" s="15"/>
      <c r="W9" s="13">
        <f t="shared" ref="W9:W16" si="6">43-K9</f>
        <v>-32.768886648162749</v>
      </c>
      <c r="X9" s="15"/>
      <c r="Y9" s="13">
        <f t="shared" ref="Y9:Y16" si="7">43-M9</f>
        <v>-47.718144166211232</v>
      </c>
      <c r="Z9" s="15"/>
      <c r="AA9" s="13">
        <f t="shared" ref="AA9:AA16" si="8">O9+95</f>
        <v>43.231113351837251</v>
      </c>
      <c r="AB9" s="15"/>
      <c r="AC9" s="13">
        <f t="shared" ref="AC9:AC16" si="9">Q9+95</f>
        <v>28.281855833788768</v>
      </c>
      <c r="AD9" s="15"/>
      <c r="AE9" s="13">
        <f>S9+95</f>
        <v>52.231113351837251</v>
      </c>
      <c r="AF9" s="15"/>
      <c r="AG9" s="13">
        <f t="shared" ref="AG9:AG16" si="10">U9+95</f>
        <v>37.281855833788768</v>
      </c>
      <c r="AH9" s="15"/>
      <c r="AI9" s="13">
        <f t="shared" ref="AI9:AI16" si="11">W9+95</f>
        <v>62.231113351837251</v>
      </c>
      <c r="AJ9" s="15"/>
      <c r="AK9" s="13">
        <f t="shared" ref="AK9:AK16" si="12">Y9+95</f>
        <v>47.281855833788768</v>
      </c>
      <c r="AL9" s="15"/>
      <c r="AM9" s="13">
        <f t="shared" ref="AM9:AM16" si="13">O9+105</f>
        <v>53.231113351837251</v>
      </c>
      <c r="AN9" s="15"/>
      <c r="AO9" s="13">
        <f t="shared" ref="AO9:AO16" si="14">Q9+105</f>
        <v>38.281855833788768</v>
      </c>
      <c r="AP9" s="15"/>
      <c r="AQ9" s="13">
        <f t="shared" ref="AQ9:AQ16" si="15">S9+105</f>
        <v>62.231113351837251</v>
      </c>
      <c r="AR9" s="15"/>
      <c r="AS9" s="13">
        <f t="shared" ref="AS9:AS16" si="16">U9+105</f>
        <v>47.281855833788768</v>
      </c>
      <c r="AT9" s="15"/>
      <c r="AU9" s="13">
        <f t="shared" ref="AU9:AU16" si="17">W9+105</f>
        <v>72.231113351837251</v>
      </c>
      <c r="AV9" s="15"/>
      <c r="AW9" s="13">
        <f t="shared" ref="AW9:AW16" si="18">Y9+105</f>
        <v>57.281855833788768</v>
      </c>
      <c r="AX9" s="15"/>
    </row>
    <row r="10" spans="2:50" ht="16.5" thickTop="1" thickBot="1" x14ac:dyDescent="0.3">
      <c r="D10" s="11"/>
      <c r="E10" s="11"/>
      <c r="F10" s="1">
        <v>243.1</v>
      </c>
      <c r="G10" s="13">
        <f t="shared" si="0"/>
        <v>78.227498916705599</v>
      </c>
      <c r="H10" s="14"/>
      <c r="I10" s="13">
        <f>10*$D$24*LOG10(F10)+$D$26+10*$D$28*LOG10(3.4) +$D$30</f>
        <v>93.176756434754083</v>
      </c>
      <c r="J10" s="14"/>
      <c r="K10" s="13">
        <f>G10</f>
        <v>78.227498916705599</v>
      </c>
      <c r="L10" s="14"/>
      <c r="M10" s="13">
        <f t="shared" si="1"/>
        <v>93.176756434754083</v>
      </c>
      <c r="N10" s="14"/>
      <c r="O10" s="13">
        <f t="shared" si="2"/>
        <v>-54.227498916705599</v>
      </c>
      <c r="P10" s="15"/>
      <c r="Q10" s="13">
        <f t="shared" si="3"/>
        <v>-69.176756434754083</v>
      </c>
      <c r="R10" s="15"/>
      <c r="S10" s="13">
        <f t="shared" si="4"/>
        <v>-45.227498916705599</v>
      </c>
      <c r="T10" s="15"/>
      <c r="U10" s="13">
        <f t="shared" si="5"/>
        <v>-60.176756434754083</v>
      </c>
      <c r="V10" s="15"/>
      <c r="W10" s="13">
        <f t="shared" si="6"/>
        <v>-35.227498916705599</v>
      </c>
      <c r="X10" s="15"/>
      <c r="Y10" s="13">
        <f t="shared" si="7"/>
        <v>-50.176756434754083</v>
      </c>
      <c r="Z10" s="15"/>
      <c r="AA10" s="13">
        <f t="shared" si="8"/>
        <v>40.772501083294401</v>
      </c>
      <c r="AB10" s="15"/>
      <c r="AC10" s="13">
        <f t="shared" si="9"/>
        <v>25.823243565245917</v>
      </c>
      <c r="AD10" s="15"/>
      <c r="AE10" s="13">
        <f t="shared" ref="AE10:AE16" si="19">S10+95</f>
        <v>49.772501083294401</v>
      </c>
      <c r="AF10" s="15"/>
      <c r="AG10" s="13">
        <f t="shared" si="10"/>
        <v>34.823243565245917</v>
      </c>
      <c r="AH10" s="15"/>
      <c r="AI10" s="13">
        <f t="shared" si="11"/>
        <v>59.772501083294401</v>
      </c>
      <c r="AJ10" s="15"/>
      <c r="AK10" s="13">
        <f t="shared" si="12"/>
        <v>44.823243565245917</v>
      </c>
      <c r="AL10" s="15"/>
      <c r="AM10" s="13">
        <f t="shared" si="13"/>
        <v>50.772501083294401</v>
      </c>
      <c r="AN10" s="15"/>
      <c r="AO10" s="13">
        <f t="shared" si="14"/>
        <v>35.823243565245917</v>
      </c>
      <c r="AP10" s="15"/>
      <c r="AQ10" s="13">
        <f t="shared" si="15"/>
        <v>59.772501083294401</v>
      </c>
      <c r="AR10" s="15"/>
      <c r="AS10" s="13">
        <f t="shared" si="16"/>
        <v>44.823243565245917</v>
      </c>
      <c r="AT10" s="15"/>
      <c r="AU10" s="13">
        <f t="shared" si="17"/>
        <v>69.772501083294401</v>
      </c>
      <c r="AV10" s="15"/>
      <c r="AW10" s="13">
        <f t="shared" si="18"/>
        <v>54.823243565245917</v>
      </c>
      <c r="AX10" s="15"/>
    </row>
    <row r="11" spans="2:50" ht="16.5" thickTop="1" thickBot="1" x14ac:dyDescent="0.3">
      <c r="D11" s="11" t="s">
        <v>10</v>
      </c>
      <c r="E11" s="11"/>
      <c r="F11" s="1">
        <v>302.69</v>
      </c>
      <c r="G11" s="13">
        <f t="shared" si="0"/>
        <v>80.131761207100013</v>
      </c>
      <c r="H11" s="14"/>
      <c r="I11" s="13">
        <f>10*$G$24*LOG10(F8)+$G$26+10*$G$28*LOG10(3.4)+ $G$30</f>
        <v>88.311727614209588</v>
      </c>
      <c r="J11" s="14"/>
      <c r="K11" s="13">
        <f>G11+6</f>
        <v>86.131761207100013</v>
      </c>
      <c r="L11" s="14"/>
      <c r="M11" s="13">
        <f t="shared" si="1"/>
        <v>88.311727614209588</v>
      </c>
      <c r="N11" s="14"/>
      <c r="O11" s="13">
        <f t="shared" si="2"/>
        <v>-62.131761207100013</v>
      </c>
      <c r="P11" s="15"/>
      <c r="Q11" s="13">
        <f t="shared" si="3"/>
        <v>-64.311727614209588</v>
      </c>
      <c r="R11" s="15"/>
      <c r="S11" s="13">
        <f t="shared" si="4"/>
        <v>-53.131761207100013</v>
      </c>
      <c r="T11" s="15"/>
      <c r="U11" s="13">
        <f t="shared" si="5"/>
        <v>-55.311727614209588</v>
      </c>
      <c r="V11" s="15"/>
      <c r="W11" s="13">
        <f t="shared" si="6"/>
        <v>-43.131761207100013</v>
      </c>
      <c r="X11" s="15"/>
      <c r="Y11" s="13">
        <f t="shared" si="7"/>
        <v>-45.311727614209588</v>
      </c>
      <c r="Z11" s="15"/>
      <c r="AA11" s="13">
        <f t="shared" si="8"/>
        <v>32.868238792899987</v>
      </c>
      <c r="AB11" s="15"/>
      <c r="AC11" s="13">
        <f t="shared" si="9"/>
        <v>30.688272385790412</v>
      </c>
      <c r="AD11" s="15"/>
      <c r="AE11" s="13">
        <f t="shared" si="19"/>
        <v>41.868238792899987</v>
      </c>
      <c r="AF11" s="15"/>
      <c r="AG11" s="13">
        <f t="shared" si="10"/>
        <v>39.688272385790412</v>
      </c>
      <c r="AH11" s="15"/>
      <c r="AI11" s="13">
        <f t="shared" si="11"/>
        <v>51.868238792899987</v>
      </c>
      <c r="AJ11" s="15"/>
      <c r="AK11" s="13">
        <f t="shared" si="12"/>
        <v>49.688272385790412</v>
      </c>
      <c r="AL11" s="15"/>
      <c r="AM11" s="13">
        <f t="shared" si="13"/>
        <v>42.868238792899987</v>
      </c>
      <c r="AN11" s="15"/>
      <c r="AO11" s="13">
        <f t="shared" si="14"/>
        <v>40.688272385790412</v>
      </c>
      <c r="AP11" s="15"/>
      <c r="AQ11" s="13">
        <f t="shared" si="15"/>
        <v>51.868238792899987</v>
      </c>
      <c r="AR11" s="15"/>
      <c r="AS11" s="13">
        <f t="shared" si="16"/>
        <v>49.688272385790412</v>
      </c>
      <c r="AT11" s="15"/>
      <c r="AU11" s="13">
        <f t="shared" si="17"/>
        <v>61.868238792899987</v>
      </c>
      <c r="AV11" s="15"/>
      <c r="AW11" s="13">
        <f t="shared" si="18"/>
        <v>59.688272385790412</v>
      </c>
      <c r="AX11" s="15"/>
    </row>
    <row r="12" spans="2:50" ht="16.5" thickTop="1" thickBot="1" x14ac:dyDescent="0.3">
      <c r="B12" s="5"/>
      <c r="D12" s="11"/>
      <c r="E12" s="11"/>
      <c r="F12" s="1">
        <v>311.83</v>
      </c>
      <c r="G12" s="13">
        <f t="shared" si="0"/>
        <v>80.390157634105677</v>
      </c>
      <c r="H12" s="14"/>
      <c r="I12" s="13">
        <f>10*$G$24*LOG10(F9)+$G$26+10*$G$28*LOG10(3.4)+ $G$30</f>
        <v>91.083936763625275</v>
      </c>
      <c r="J12" s="14"/>
      <c r="K12" s="13">
        <f>G12+6</f>
        <v>86.390157634105677</v>
      </c>
      <c r="L12" s="14"/>
      <c r="M12" s="13">
        <f t="shared" si="1"/>
        <v>91.083936763625275</v>
      </c>
      <c r="N12" s="14"/>
      <c r="O12" s="13">
        <f t="shared" si="2"/>
        <v>-62.390157634105677</v>
      </c>
      <c r="P12" s="15"/>
      <c r="Q12" s="13">
        <f t="shared" si="3"/>
        <v>-67.083936763625275</v>
      </c>
      <c r="R12" s="15"/>
      <c r="S12" s="13">
        <f t="shared" si="4"/>
        <v>-53.390157634105677</v>
      </c>
      <c r="T12" s="15"/>
      <c r="U12" s="13">
        <f t="shared" si="5"/>
        <v>-58.083936763625275</v>
      </c>
      <c r="V12" s="15"/>
      <c r="W12" s="13">
        <f t="shared" si="6"/>
        <v>-43.390157634105677</v>
      </c>
      <c r="X12" s="15"/>
      <c r="Y12" s="13">
        <f t="shared" si="7"/>
        <v>-48.083936763625275</v>
      </c>
      <c r="Z12" s="15"/>
      <c r="AA12" s="13">
        <f t="shared" si="8"/>
        <v>32.609842365894323</v>
      </c>
      <c r="AB12" s="15"/>
      <c r="AC12" s="13">
        <f t="shared" si="9"/>
        <v>27.916063236374725</v>
      </c>
      <c r="AD12" s="15"/>
      <c r="AE12" s="13">
        <f t="shared" si="19"/>
        <v>41.609842365894323</v>
      </c>
      <c r="AF12" s="15"/>
      <c r="AG12" s="13">
        <f t="shared" si="10"/>
        <v>36.916063236374725</v>
      </c>
      <c r="AH12" s="15"/>
      <c r="AI12" s="13">
        <f t="shared" si="11"/>
        <v>51.609842365894323</v>
      </c>
      <c r="AJ12" s="15"/>
      <c r="AK12" s="13">
        <f t="shared" si="12"/>
        <v>46.916063236374725</v>
      </c>
      <c r="AL12" s="15"/>
      <c r="AM12" s="13">
        <f t="shared" si="13"/>
        <v>42.609842365894323</v>
      </c>
      <c r="AN12" s="15"/>
      <c r="AO12" s="13">
        <f t="shared" si="14"/>
        <v>37.916063236374725</v>
      </c>
      <c r="AP12" s="15"/>
      <c r="AQ12" s="13">
        <f t="shared" si="15"/>
        <v>51.609842365894323</v>
      </c>
      <c r="AR12" s="15"/>
      <c r="AS12" s="13">
        <f t="shared" si="16"/>
        <v>46.916063236374725</v>
      </c>
      <c r="AT12" s="15"/>
      <c r="AU12" s="13">
        <f t="shared" si="17"/>
        <v>61.609842365894323</v>
      </c>
      <c r="AV12" s="15"/>
      <c r="AW12" s="13">
        <f t="shared" si="18"/>
        <v>56.916063236374725</v>
      </c>
      <c r="AX12" s="15"/>
    </row>
    <row r="13" spans="2:50" ht="16.5" thickTop="1" thickBot="1" x14ac:dyDescent="0.3">
      <c r="D13" s="11"/>
      <c r="E13" s="11"/>
      <c r="F13" s="1">
        <v>331.88</v>
      </c>
      <c r="G13" s="13">
        <f t="shared" si="0"/>
        <v>80.931421368224846</v>
      </c>
      <c r="H13" s="14"/>
      <c r="I13" s="13">
        <f>10*$G$24*LOG10(F10)+$G$26+10*$G$28*LOG10(3.4)+ $G$30</f>
        <v>94.525993939585263</v>
      </c>
      <c r="J13" s="14"/>
      <c r="K13" s="13">
        <f>G13+6</f>
        <v>86.931421368224846</v>
      </c>
      <c r="L13" s="14"/>
      <c r="M13" s="13">
        <f t="shared" si="1"/>
        <v>94.525993939585263</v>
      </c>
      <c r="N13" s="14"/>
      <c r="O13" s="13">
        <f t="shared" si="2"/>
        <v>-62.931421368224846</v>
      </c>
      <c r="P13" s="15"/>
      <c r="Q13" s="13">
        <f t="shared" si="3"/>
        <v>-70.525993939585263</v>
      </c>
      <c r="R13" s="15"/>
      <c r="S13" s="13">
        <f t="shared" si="4"/>
        <v>-53.931421368224846</v>
      </c>
      <c r="T13" s="15"/>
      <c r="U13" s="13">
        <f t="shared" si="5"/>
        <v>-61.525993939585263</v>
      </c>
      <c r="V13" s="15"/>
      <c r="W13" s="13">
        <f t="shared" si="6"/>
        <v>-43.931421368224846</v>
      </c>
      <c r="X13" s="15"/>
      <c r="Y13" s="13">
        <f t="shared" si="7"/>
        <v>-51.525993939585263</v>
      </c>
      <c r="Z13" s="15"/>
      <c r="AA13" s="13">
        <f t="shared" si="8"/>
        <v>32.068578631775154</v>
      </c>
      <c r="AB13" s="15"/>
      <c r="AC13" s="13">
        <f t="shared" si="9"/>
        <v>24.474006060414737</v>
      </c>
      <c r="AD13" s="15"/>
      <c r="AE13" s="13">
        <f t="shared" si="19"/>
        <v>41.068578631775154</v>
      </c>
      <c r="AF13" s="15"/>
      <c r="AG13" s="13">
        <f t="shared" si="10"/>
        <v>33.474006060414737</v>
      </c>
      <c r="AH13" s="15"/>
      <c r="AI13" s="13">
        <f t="shared" si="11"/>
        <v>51.068578631775154</v>
      </c>
      <c r="AJ13" s="15"/>
      <c r="AK13" s="13">
        <f t="shared" si="12"/>
        <v>43.474006060414737</v>
      </c>
      <c r="AL13" s="15"/>
      <c r="AM13" s="13">
        <f t="shared" si="13"/>
        <v>42.068578631775154</v>
      </c>
      <c r="AN13" s="15"/>
      <c r="AO13" s="13">
        <f t="shared" si="14"/>
        <v>34.474006060414737</v>
      </c>
      <c r="AP13" s="15"/>
      <c r="AQ13" s="13">
        <f t="shared" si="15"/>
        <v>51.068578631775154</v>
      </c>
      <c r="AR13" s="15"/>
      <c r="AS13" s="13">
        <f t="shared" si="16"/>
        <v>43.474006060414737</v>
      </c>
      <c r="AT13" s="15"/>
      <c r="AU13" s="13">
        <f t="shared" si="17"/>
        <v>61.068578631775154</v>
      </c>
      <c r="AV13" s="15"/>
      <c r="AW13" s="13">
        <f t="shared" si="18"/>
        <v>53.474006060414737</v>
      </c>
      <c r="AX13" s="15"/>
    </row>
    <row r="14" spans="2:50" ht="16.5" thickTop="1" thickBot="1" x14ac:dyDescent="0.3">
      <c r="D14" s="11" t="s">
        <v>9</v>
      </c>
      <c r="E14" s="11"/>
      <c r="F14" s="1">
        <v>335.45</v>
      </c>
      <c r="G14" s="13">
        <f t="shared" si="0"/>
        <v>81.024355664076637</v>
      </c>
      <c r="H14" s="14"/>
      <c r="I14" s="13">
        <f>10*$J$24*LOG10(F8)+$J$26+10*$J$28*LOG10(3.4)+ $J$30</f>
        <v>118.23274007660002</v>
      </c>
      <c r="J14" s="14"/>
      <c r="K14" s="13">
        <f>G14+30</f>
        <v>111.02435566407664</v>
      </c>
      <c r="L14" s="14"/>
      <c r="M14" s="13">
        <f t="shared" si="1"/>
        <v>118.23274007660002</v>
      </c>
      <c r="N14" s="14"/>
      <c r="O14" s="13">
        <f t="shared" si="2"/>
        <v>-87.024355664076637</v>
      </c>
      <c r="P14" s="15"/>
      <c r="Q14" s="13">
        <f t="shared" si="3"/>
        <v>-94.232740076600024</v>
      </c>
      <c r="R14" s="15"/>
      <c r="S14" s="13">
        <f t="shared" si="4"/>
        <v>-78.024355664076637</v>
      </c>
      <c r="T14" s="15"/>
      <c r="U14" s="13">
        <f t="shared" si="5"/>
        <v>-85.232740076600024</v>
      </c>
      <c r="V14" s="15"/>
      <c r="W14" s="13">
        <f t="shared" si="6"/>
        <v>-68.024355664076637</v>
      </c>
      <c r="X14" s="15"/>
      <c r="Y14" s="13">
        <f t="shared" si="7"/>
        <v>-75.232740076600024</v>
      </c>
      <c r="Z14" s="15"/>
      <c r="AA14" s="13">
        <f t="shared" si="8"/>
        <v>7.9756443359233629</v>
      </c>
      <c r="AB14" s="15"/>
      <c r="AC14" s="13">
        <f t="shared" si="9"/>
        <v>0.76725992339997617</v>
      </c>
      <c r="AD14" s="15"/>
      <c r="AE14" s="13">
        <f t="shared" si="19"/>
        <v>16.975644335923363</v>
      </c>
      <c r="AF14" s="15"/>
      <c r="AG14" s="13">
        <f t="shared" si="10"/>
        <v>9.7672599233999762</v>
      </c>
      <c r="AH14" s="15"/>
      <c r="AI14" s="13">
        <f t="shared" si="11"/>
        <v>26.975644335923363</v>
      </c>
      <c r="AJ14" s="15"/>
      <c r="AK14" s="13">
        <f t="shared" si="12"/>
        <v>19.767259923399976</v>
      </c>
      <c r="AL14" s="15"/>
      <c r="AM14" s="13">
        <f t="shared" si="13"/>
        <v>17.975644335923363</v>
      </c>
      <c r="AN14" s="15"/>
      <c r="AO14" s="13">
        <f t="shared" si="14"/>
        <v>10.767259923399976</v>
      </c>
      <c r="AP14" s="15"/>
      <c r="AQ14" s="13">
        <f t="shared" si="15"/>
        <v>26.975644335923363</v>
      </c>
      <c r="AR14" s="15"/>
      <c r="AS14" s="13">
        <f t="shared" si="16"/>
        <v>19.767259923399976</v>
      </c>
      <c r="AT14" s="15"/>
      <c r="AU14" s="13">
        <f t="shared" si="17"/>
        <v>36.975644335923363</v>
      </c>
      <c r="AV14" s="15"/>
      <c r="AW14" s="13">
        <f t="shared" si="18"/>
        <v>29.767259923399976</v>
      </c>
      <c r="AX14" s="15"/>
    </row>
    <row r="15" spans="2:50" ht="16.5" thickTop="1" thickBot="1" x14ac:dyDescent="0.3">
      <c r="D15" s="11"/>
      <c r="E15" s="11"/>
      <c r="F15" s="1">
        <v>320.77999999999997</v>
      </c>
      <c r="G15" s="13">
        <f t="shared" si="0"/>
        <v>80.635945400883983</v>
      </c>
      <c r="H15" s="14"/>
      <c r="I15" s="13">
        <f>10*$J$24*LOG10(F9)+$J$26+10*$J$28*LOG10(3.4)+ $J$30</f>
        <v>121.69800151336962</v>
      </c>
      <c r="J15" s="14"/>
      <c r="K15" s="13">
        <f>G15+30</f>
        <v>110.63594540088398</v>
      </c>
      <c r="L15" s="14"/>
      <c r="M15" s="13">
        <f t="shared" si="1"/>
        <v>121.69800151336962</v>
      </c>
      <c r="N15" s="14"/>
      <c r="O15" s="13">
        <f t="shared" si="2"/>
        <v>-86.635945400883983</v>
      </c>
      <c r="P15" s="15"/>
      <c r="Q15" s="13">
        <f t="shared" si="3"/>
        <v>-97.698001513369618</v>
      </c>
      <c r="R15" s="15"/>
      <c r="S15" s="13">
        <f t="shared" si="4"/>
        <v>-77.635945400883983</v>
      </c>
      <c r="T15" s="15"/>
      <c r="U15" s="13">
        <f t="shared" si="5"/>
        <v>-88.698001513369618</v>
      </c>
      <c r="V15" s="15"/>
      <c r="W15" s="13">
        <f t="shared" si="6"/>
        <v>-67.635945400883983</v>
      </c>
      <c r="X15" s="15"/>
      <c r="Y15" s="13">
        <f t="shared" si="7"/>
        <v>-78.698001513369618</v>
      </c>
      <c r="Z15" s="15"/>
      <c r="AA15" s="13">
        <f t="shared" si="8"/>
        <v>8.3640545991160167</v>
      </c>
      <c r="AB15" s="15"/>
      <c r="AC15" s="13">
        <f t="shared" si="9"/>
        <v>-2.6980015133696185</v>
      </c>
      <c r="AD15" s="15"/>
      <c r="AE15" s="13">
        <f t="shared" si="19"/>
        <v>17.364054599116017</v>
      </c>
      <c r="AF15" s="15"/>
      <c r="AG15" s="13">
        <f t="shared" si="10"/>
        <v>6.3019984866303815</v>
      </c>
      <c r="AH15" s="15"/>
      <c r="AI15" s="13">
        <f t="shared" si="11"/>
        <v>27.364054599116017</v>
      </c>
      <c r="AJ15" s="15"/>
      <c r="AK15" s="13">
        <f t="shared" si="12"/>
        <v>16.301998486630382</v>
      </c>
      <c r="AL15" s="15"/>
      <c r="AM15" s="13">
        <f t="shared" si="13"/>
        <v>18.364054599116017</v>
      </c>
      <c r="AN15" s="15"/>
      <c r="AO15" s="13">
        <f t="shared" si="14"/>
        <v>7.3019984866303815</v>
      </c>
      <c r="AP15" s="15"/>
      <c r="AQ15" s="13">
        <f t="shared" si="15"/>
        <v>27.364054599116017</v>
      </c>
      <c r="AR15" s="15"/>
      <c r="AS15" s="13">
        <f t="shared" si="16"/>
        <v>16.301998486630382</v>
      </c>
      <c r="AT15" s="15"/>
      <c r="AU15" s="13">
        <f t="shared" si="17"/>
        <v>37.364054599116017</v>
      </c>
      <c r="AV15" s="15"/>
      <c r="AW15" s="13">
        <f t="shared" si="18"/>
        <v>26.301998486630382</v>
      </c>
      <c r="AX15" s="15"/>
    </row>
    <row r="16" spans="2:50" ht="16.5" thickTop="1" thickBot="1" x14ac:dyDescent="0.3">
      <c r="D16" s="11"/>
      <c r="E16" s="16"/>
      <c r="F16" s="1">
        <v>349.34</v>
      </c>
      <c r="G16" s="13">
        <f t="shared" si="0"/>
        <v>81.376766058070757</v>
      </c>
      <c r="H16" s="14"/>
      <c r="I16" s="13">
        <f>10*$J$24*LOG10(F10)+$J$26+10*$J$28*LOG10(3.4)+ $J$30</f>
        <v>126.0005729833196</v>
      </c>
      <c r="J16" s="14"/>
      <c r="K16" s="13">
        <f>G16+30</f>
        <v>111.37676605807076</v>
      </c>
      <c r="L16" s="14"/>
      <c r="M16" s="13">
        <f t="shared" si="1"/>
        <v>126.0005729833196</v>
      </c>
      <c r="N16" s="14"/>
      <c r="O16" s="13">
        <f t="shared" si="2"/>
        <v>-87.376766058070757</v>
      </c>
      <c r="P16" s="15"/>
      <c r="Q16" s="13">
        <f t="shared" si="3"/>
        <v>-102.0005729833196</v>
      </c>
      <c r="R16" s="15"/>
      <c r="S16" s="13">
        <f t="shared" si="4"/>
        <v>-78.376766058070757</v>
      </c>
      <c r="T16" s="15"/>
      <c r="U16" s="13">
        <f t="shared" si="5"/>
        <v>-93.0005729833196</v>
      </c>
      <c r="V16" s="15"/>
      <c r="W16" s="13">
        <f t="shared" si="6"/>
        <v>-68.376766058070757</v>
      </c>
      <c r="X16" s="15"/>
      <c r="Y16" s="13">
        <f t="shared" si="7"/>
        <v>-83.0005729833196</v>
      </c>
      <c r="Z16" s="15"/>
      <c r="AA16" s="13">
        <f t="shared" si="8"/>
        <v>7.623233941929243</v>
      </c>
      <c r="AB16" s="15"/>
      <c r="AC16" s="13">
        <f t="shared" si="9"/>
        <v>-7.0005729833196</v>
      </c>
      <c r="AD16" s="15"/>
      <c r="AE16" s="13">
        <f t="shared" si="19"/>
        <v>16.623233941929243</v>
      </c>
      <c r="AF16" s="15"/>
      <c r="AG16" s="13">
        <f t="shared" si="10"/>
        <v>1.9994270166804</v>
      </c>
      <c r="AH16" s="15"/>
      <c r="AI16" s="13">
        <f t="shared" si="11"/>
        <v>26.623233941929243</v>
      </c>
      <c r="AJ16" s="15"/>
      <c r="AK16" s="13">
        <f t="shared" si="12"/>
        <v>11.9994270166804</v>
      </c>
      <c r="AL16" s="15"/>
      <c r="AM16" s="13">
        <f t="shared" si="13"/>
        <v>17.623233941929243</v>
      </c>
      <c r="AN16" s="15"/>
      <c r="AO16" s="13">
        <f t="shared" si="14"/>
        <v>2.9994270166804</v>
      </c>
      <c r="AP16" s="15"/>
      <c r="AQ16" s="13">
        <f t="shared" si="15"/>
        <v>26.623233941929243</v>
      </c>
      <c r="AR16" s="15"/>
      <c r="AS16" s="13">
        <f t="shared" si="16"/>
        <v>11.9994270166804</v>
      </c>
      <c r="AT16" s="15"/>
      <c r="AU16" s="13">
        <f t="shared" si="17"/>
        <v>36.623233941929243</v>
      </c>
      <c r="AV16" s="15"/>
      <c r="AW16" s="13">
        <f t="shared" si="18"/>
        <v>21.9994270166804</v>
      </c>
      <c r="AX16" s="15"/>
    </row>
    <row r="17" spans="3:51" ht="16.5" thickTop="1" thickBot="1" x14ac:dyDescent="0.3">
      <c r="E17" s="3"/>
      <c r="F17" s="4" t="s">
        <v>3</v>
      </c>
      <c r="G17" s="30" t="s">
        <v>6</v>
      </c>
      <c r="H17" s="31"/>
      <c r="I17" s="31"/>
      <c r="J17" s="31"/>
      <c r="K17" s="31"/>
      <c r="L17" s="31"/>
      <c r="M17" s="31"/>
      <c r="N17" s="32"/>
      <c r="O17" s="33" t="s">
        <v>7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4" t="s">
        <v>7</v>
      </c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6"/>
    </row>
    <row r="18" spans="3:51" ht="16.5" thickTop="1" thickBot="1" x14ac:dyDescent="0.3">
      <c r="F18" s="3"/>
      <c r="G18" s="17" t="s">
        <v>8</v>
      </c>
      <c r="H18" s="18"/>
      <c r="I18" s="19" t="s">
        <v>20</v>
      </c>
      <c r="J18" s="18"/>
      <c r="K18" s="20" t="s">
        <v>15</v>
      </c>
      <c r="L18" s="21"/>
      <c r="M18" s="21"/>
      <c r="N18" s="21"/>
      <c r="O18" s="22" t="s">
        <v>16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3" t="s">
        <v>28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5"/>
    </row>
    <row r="19" spans="3:51" ht="15.75" thickTop="1" x14ac:dyDescent="0.25"/>
    <row r="20" spans="3:51" ht="15.75" thickBot="1" x14ac:dyDescent="0.3"/>
    <row r="21" spans="3:51" ht="16.5" thickTop="1" thickBot="1" x14ac:dyDescent="0.3">
      <c r="D21" s="11" t="s">
        <v>11</v>
      </c>
      <c r="E21" s="11"/>
      <c r="G21" s="26" t="s">
        <v>10</v>
      </c>
      <c r="H21" s="27"/>
      <c r="J21" s="11" t="s">
        <v>9</v>
      </c>
      <c r="K21" s="11"/>
    </row>
    <row r="22" spans="3:51" ht="16.5" thickTop="1" thickBot="1" x14ac:dyDescent="0.3">
      <c r="D22" s="11"/>
      <c r="E22" s="11"/>
      <c r="G22" s="28"/>
      <c r="H22" s="29"/>
      <c r="J22" s="11"/>
      <c r="K22" s="11"/>
    </row>
    <row r="23" spans="3:51" ht="16.5" thickTop="1" thickBot="1" x14ac:dyDescent="0.3">
      <c r="D23" s="16"/>
      <c r="E23" s="16"/>
      <c r="G23" s="28"/>
      <c r="H23" s="29"/>
      <c r="J23" s="11"/>
      <c r="K23" s="11"/>
    </row>
    <row r="24" spans="3:51" ht="15.75" thickTop="1" x14ac:dyDescent="0.25">
      <c r="C24" s="36" t="s">
        <v>12</v>
      </c>
      <c r="D24" s="42">
        <v>2</v>
      </c>
      <c r="E24" s="43"/>
      <c r="G24" s="42">
        <v>2.8</v>
      </c>
      <c r="H24" s="43"/>
      <c r="J24" s="42">
        <v>3.5</v>
      </c>
      <c r="K24" s="43"/>
    </row>
    <row r="25" spans="3:51" ht="15.75" thickBot="1" x14ac:dyDescent="0.3">
      <c r="C25" s="37"/>
      <c r="D25" s="44"/>
      <c r="E25" s="45"/>
      <c r="G25" s="44"/>
      <c r="H25" s="45"/>
      <c r="I25" s="2"/>
      <c r="J25" s="44"/>
      <c r="K25" s="45"/>
      <c r="Y25" t="s">
        <v>22</v>
      </c>
    </row>
    <row r="26" spans="3:51" ht="15.75" thickTop="1" x14ac:dyDescent="0.25">
      <c r="C26" s="36" t="s">
        <v>13</v>
      </c>
      <c r="D26" s="38">
        <v>31.4</v>
      </c>
      <c r="E26" s="39"/>
      <c r="G26" s="38">
        <v>11.4</v>
      </c>
      <c r="H26" s="39"/>
      <c r="J26" s="38">
        <v>24.4</v>
      </c>
      <c r="K26" s="39"/>
    </row>
    <row r="27" spans="3:51" ht="15.75" thickBot="1" x14ac:dyDescent="0.3">
      <c r="C27" s="37"/>
      <c r="D27" s="44"/>
      <c r="E27" s="45"/>
      <c r="G27" s="44"/>
      <c r="H27" s="45"/>
      <c r="J27" s="44"/>
      <c r="K27" s="45"/>
    </row>
    <row r="28" spans="3:51" ht="15.75" thickTop="1" x14ac:dyDescent="0.25">
      <c r="C28" s="36" t="s">
        <v>14</v>
      </c>
      <c r="D28" s="38">
        <v>2.1</v>
      </c>
      <c r="E28" s="39"/>
      <c r="G28" s="38">
        <v>2.2999999999999998</v>
      </c>
      <c r="H28" s="39"/>
      <c r="J28" s="38">
        <v>1.9</v>
      </c>
      <c r="K28" s="39"/>
    </row>
    <row r="29" spans="3:51" ht="15.75" thickBot="1" x14ac:dyDescent="0.3">
      <c r="C29" s="37"/>
      <c r="D29" s="40"/>
      <c r="E29" s="41"/>
      <c r="G29" s="40"/>
      <c r="H29" s="41"/>
      <c r="J29" s="40"/>
      <c r="K29" s="41"/>
    </row>
    <row r="30" spans="3:51" ht="15.75" thickTop="1" x14ac:dyDescent="0.25">
      <c r="C30" s="36" t="s">
        <v>21</v>
      </c>
      <c r="D30" s="38">
        <v>2.9</v>
      </c>
      <c r="E30" s="39"/>
      <c r="G30" s="38">
        <v>4.0999999999999996</v>
      </c>
      <c r="H30" s="39"/>
      <c r="J30" s="38">
        <v>8</v>
      </c>
      <c r="K30" s="39"/>
    </row>
    <row r="31" spans="3:51" ht="15.75" thickBot="1" x14ac:dyDescent="0.3">
      <c r="C31" s="37"/>
      <c r="D31" s="40"/>
      <c r="E31" s="41"/>
      <c r="G31" s="40"/>
      <c r="H31" s="41"/>
      <c r="J31" s="40"/>
      <c r="K31" s="41"/>
    </row>
  </sheetData>
  <mergeCells count="264">
    <mergeCell ref="C28:C29"/>
    <mergeCell ref="D28:E29"/>
    <mergeCell ref="G28:H29"/>
    <mergeCell ref="J28:K29"/>
    <mergeCell ref="C30:C31"/>
    <mergeCell ref="D30:E31"/>
    <mergeCell ref="G30:H31"/>
    <mergeCell ref="J30:K31"/>
    <mergeCell ref="C24:C25"/>
    <mergeCell ref="D24:E25"/>
    <mergeCell ref="G24:H25"/>
    <mergeCell ref="J24:K25"/>
    <mergeCell ref="C26:C27"/>
    <mergeCell ref="D26:E27"/>
    <mergeCell ref="G26:H27"/>
    <mergeCell ref="J26:K27"/>
    <mergeCell ref="G18:H18"/>
    <mergeCell ref="I18:J18"/>
    <mergeCell ref="K18:N18"/>
    <mergeCell ref="O18:Z18"/>
    <mergeCell ref="AA18:AX18"/>
    <mergeCell ref="D21:E23"/>
    <mergeCell ref="G21:H23"/>
    <mergeCell ref="J21:K23"/>
    <mergeCell ref="AO16:AP16"/>
    <mergeCell ref="AQ16:AR16"/>
    <mergeCell ref="AS16:AT16"/>
    <mergeCell ref="AU16:AV16"/>
    <mergeCell ref="AW16:AX16"/>
    <mergeCell ref="G17:N17"/>
    <mergeCell ref="O17:Z17"/>
    <mergeCell ref="AA17:AX17"/>
    <mergeCell ref="AC16:AD16"/>
    <mergeCell ref="AE16:AF16"/>
    <mergeCell ref="AG16:AH16"/>
    <mergeCell ref="AI16:AJ16"/>
    <mergeCell ref="AK16:AL16"/>
    <mergeCell ref="AM16:AN16"/>
    <mergeCell ref="Q16:R16"/>
    <mergeCell ref="S16:T16"/>
    <mergeCell ref="W16:X16"/>
    <mergeCell ref="Y16:Z16"/>
    <mergeCell ref="AA16:AB16"/>
    <mergeCell ref="AO15:AP15"/>
    <mergeCell ref="AQ15:AR15"/>
    <mergeCell ref="AS15:AT15"/>
    <mergeCell ref="AU15:AV15"/>
    <mergeCell ref="AW15:AX15"/>
    <mergeCell ref="AK15:AL15"/>
    <mergeCell ref="AM15:AN15"/>
    <mergeCell ref="AK14:AL14"/>
    <mergeCell ref="AM14:AN14"/>
    <mergeCell ref="Q14:R14"/>
    <mergeCell ref="S14:T14"/>
    <mergeCell ref="U14:V14"/>
    <mergeCell ref="W14:X14"/>
    <mergeCell ref="Y14:Z14"/>
    <mergeCell ref="AA14:AB14"/>
    <mergeCell ref="G16:H16"/>
    <mergeCell ref="I16:J16"/>
    <mergeCell ref="K16:L16"/>
    <mergeCell ref="M16:N16"/>
    <mergeCell ref="O16:P16"/>
    <mergeCell ref="AC15:AD15"/>
    <mergeCell ref="AE15:AF15"/>
    <mergeCell ref="AG15:AH15"/>
    <mergeCell ref="AI15:AJ15"/>
    <mergeCell ref="Q15:R15"/>
    <mergeCell ref="S15:T15"/>
    <mergeCell ref="U15:V15"/>
    <mergeCell ref="W15:X15"/>
    <mergeCell ref="Y15:Z15"/>
    <mergeCell ref="AA15:AB15"/>
    <mergeCell ref="U16:V16"/>
    <mergeCell ref="G15:H15"/>
    <mergeCell ref="I15:J15"/>
    <mergeCell ref="K15:L15"/>
    <mergeCell ref="M15:N15"/>
    <mergeCell ref="O15:P15"/>
    <mergeCell ref="AC14:AD14"/>
    <mergeCell ref="AE14:AF14"/>
    <mergeCell ref="AG14:AH14"/>
    <mergeCell ref="AI14:AJ14"/>
    <mergeCell ref="AW13:AX13"/>
    <mergeCell ref="D14:E16"/>
    <mergeCell ref="G14:H14"/>
    <mergeCell ref="I14:J14"/>
    <mergeCell ref="K14:L14"/>
    <mergeCell ref="M14:N14"/>
    <mergeCell ref="O14:P14"/>
    <mergeCell ref="AE13:AF13"/>
    <mergeCell ref="AG13:AH13"/>
    <mergeCell ref="AI13:AJ13"/>
    <mergeCell ref="AK13:AL13"/>
    <mergeCell ref="AM13:AN13"/>
    <mergeCell ref="AO13:AP13"/>
    <mergeCell ref="S13:T13"/>
    <mergeCell ref="U13:V13"/>
    <mergeCell ref="W13:X13"/>
    <mergeCell ref="Y13:Z13"/>
    <mergeCell ref="AA13:AB13"/>
    <mergeCell ref="AC13:AD13"/>
    <mergeCell ref="AO14:AP14"/>
    <mergeCell ref="AQ14:AR14"/>
    <mergeCell ref="AS14:AT14"/>
    <mergeCell ref="AU14:AV14"/>
    <mergeCell ref="AW14:AX14"/>
    <mergeCell ref="AW12:AX12"/>
    <mergeCell ref="G13:H13"/>
    <mergeCell ref="I13:J13"/>
    <mergeCell ref="K13:L13"/>
    <mergeCell ref="M13:N13"/>
    <mergeCell ref="O13:P13"/>
    <mergeCell ref="Q13:R13"/>
    <mergeCell ref="AE12:AF12"/>
    <mergeCell ref="AG12:AH12"/>
    <mergeCell ref="AI12:AJ12"/>
    <mergeCell ref="AK12:AL12"/>
    <mergeCell ref="AM12:AN12"/>
    <mergeCell ref="AO12:AP12"/>
    <mergeCell ref="S12:T12"/>
    <mergeCell ref="U12:V12"/>
    <mergeCell ref="W12:X12"/>
    <mergeCell ref="Y12:Z12"/>
    <mergeCell ref="AA12:AB12"/>
    <mergeCell ref="AC12:AD12"/>
    <mergeCell ref="G12:H12"/>
    <mergeCell ref="I12:J12"/>
    <mergeCell ref="AQ13:AR13"/>
    <mergeCell ref="AS13:AT13"/>
    <mergeCell ref="AU13:AV13"/>
    <mergeCell ref="K12:L12"/>
    <mergeCell ref="M12:N12"/>
    <mergeCell ref="O12:P12"/>
    <mergeCell ref="Q12:R12"/>
    <mergeCell ref="AM11:AN11"/>
    <mergeCell ref="AO11:AP11"/>
    <mergeCell ref="AQ11:AR11"/>
    <mergeCell ref="AS11:AT11"/>
    <mergeCell ref="AU11:AV11"/>
    <mergeCell ref="AQ12:AR12"/>
    <mergeCell ref="AS12:AT12"/>
    <mergeCell ref="AU12:AV12"/>
    <mergeCell ref="AG11:AH11"/>
    <mergeCell ref="AI11:AJ11"/>
    <mergeCell ref="AK11:AL11"/>
    <mergeCell ref="O11:P11"/>
    <mergeCell ref="Q11:R11"/>
    <mergeCell ref="S11:T11"/>
    <mergeCell ref="U11:V11"/>
    <mergeCell ref="W11:X11"/>
    <mergeCell ref="Y11:Z11"/>
    <mergeCell ref="AS10:AT10"/>
    <mergeCell ref="AU10:AV10"/>
    <mergeCell ref="AW10:AX10"/>
    <mergeCell ref="D11:E13"/>
    <mergeCell ref="G11:H11"/>
    <mergeCell ref="I11:J11"/>
    <mergeCell ref="K11:L11"/>
    <mergeCell ref="M11:N11"/>
    <mergeCell ref="AC10:AD10"/>
    <mergeCell ref="AE10:AF10"/>
    <mergeCell ref="AG10:AH10"/>
    <mergeCell ref="AI10:AJ10"/>
    <mergeCell ref="AK10:AL10"/>
    <mergeCell ref="AM10:AN10"/>
    <mergeCell ref="Q10:R10"/>
    <mergeCell ref="S10:T10"/>
    <mergeCell ref="U10:V10"/>
    <mergeCell ref="W10:X10"/>
    <mergeCell ref="Y10:Z10"/>
    <mergeCell ref="AA10:AB10"/>
    <mergeCell ref="AW11:AX11"/>
    <mergeCell ref="AA11:AB11"/>
    <mergeCell ref="AC11:AD11"/>
    <mergeCell ref="AE11:AF11"/>
    <mergeCell ref="AM9:AN9"/>
    <mergeCell ref="Q9:R9"/>
    <mergeCell ref="S9:T9"/>
    <mergeCell ref="U9:V9"/>
    <mergeCell ref="W9:X9"/>
    <mergeCell ref="Y9:Z9"/>
    <mergeCell ref="AA9:AB9"/>
    <mergeCell ref="AO10:AP10"/>
    <mergeCell ref="AQ10:AR10"/>
    <mergeCell ref="G10:H10"/>
    <mergeCell ref="I10:J10"/>
    <mergeCell ref="K10:L10"/>
    <mergeCell ref="M10:N10"/>
    <mergeCell ref="O10:P10"/>
    <mergeCell ref="AC9:AD9"/>
    <mergeCell ref="AE9:AF9"/>
    <mergeCell ref="AG9:AH9"/>
    <mergeCell ref="AI9:AJ9"/>
    <mergeCell ref="AW8:AX8"/>
    <mergeCell ref="G9:H9"/>
    <mergeCell ref="I9:J9"/>
    <mergeCell ref="K9:L9"/>
    <mergeCell ref="M9:N9"/>
    <mergeCell ref="O9:P9"/>
    <mergeCell ref="AC8:AD8"/>
    <mergeCell ref="AE8:AF8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AO9:AP9"/>
    <mergeCell ref="AQ9:AR9"/>
    <mergeCell ref="AS9:AT9"/>
    <mergeCell ref="AU9:AV9"/>
    <mergeCell ref="AW9:AX9"/>
    <mergeCell ref="AK9:AL9"/>
    <mergeCell ref="AU6:AV7"/>
    <mergeCell ref="AW6:AX7"/>
    <mergeCell ref="D8:E10"/>
    <mergeCell ref="G8:H8"/>
    <mergeCell ref="I8:J8"/>
    <mergeCell ref="K8:L8"/>
    <mergeCell ref="M8:N8"/>
    <mergeCell ref="O8:P8"/>
    <mergeCell ref="AE6:AF7"/>
    <mergeCell ref="AG6:AH7"/>
    <mergeCell ref="AI6:AJ7"/>
    <mergeCell ref="AK6:AL7"/>
    <mergeCell ref="AM6:AN7"/>
    <mergeCell ref="AO6:AP7"/>
    <mergeCell ref="S6:T7"/>
    <mergeCell ref="U6:V7"/>
    <mergeCell ref="W6:X7"/>
    <mergeCell ref="Y6:Z7"/>
    <mergeCell ref="AA6:AB7"/>
    <mergeCell ref="AC6:AD7"/>
    <mergeCell ref="AO8:AP8"/>
    <mergeCell ref="AQ8:AR8"/>
    <mergeCell ref="AS8:AT8"/>
    <mergeCell ref="AU8:AV8"/>
    <mergeCell ref="D6:F7"/>
    <mergeCell ref="G6:H7"/>
    <mergeCell ref="I6:J7"/>
    <mergeCell ref="K6:L7"/>
    <mergeCell ref="M6:N7"/>
    <mergeCell ref="O6:P7"/>
    <mergeCell ref="Q6:R7"/>
    <mergeCell ref="AQ6:AR7"/>
    <mergeCell ref="AS6:AT7"/>
    <mergeCell ref="AA3:AL3"/>
    <mergeCell ref="AM3:AX3"/>
    <mergeCell ref="G4:J5"/>
    <mergeCell ref="K4:N5"/>
    <mergeCell ref="O4:R5"/>
    <mergeCell ref="S4:V5"/>
    <mergeCell ref="W4:Z5"/>
    <mergeCell ref="AA4:AD5"/>
    <mergeCell ref="AE4:AH5"/>
    <mergeCell ref="AI4:AL5"/>
    <mergeCell ref="AM4:AP5"/>
    <mergeCell ref="AQ4:AT5"/>
    <mergeCell ref="AU4:AX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D6FD-200B-4076-B07C-EA0FB344A36F}">
  <dimension ref="B3:AY31"/>
  <sheetViews>
    <sheetView topLeftCell="C2" zoomScale="115" zoomScaleNormal="115" workbookViewId="0">
      <selection activeCell="S6" sqref="S6:T7"/>
    </sheetView>
  </sheetViews>
  <sheetFormatPr defaultRowHeight="15" x14ac:dyDescent="0.25"/>
  <cols>
    <col min="6" max="6" width="9" customWidth="1"/>
    <col min="7" max="7" width="19" customWidth="1"/>
    <col min="8" max="8" width="17.28515625" customWidth="1"/>
    <col min="10" max="10" width="41" customWidth="1"/>
  </cols>
  <sheetData>
    <row r="3" spans="2:22" ht="15.75" thickBot="1" x14ac:dyDescent="0.3"/>
    <row r="4" spans="2:22" ht="16.5" thickTop="1" thickBot="1" x14ac:dyDescent="0.3">
      <c r="G4" s="8" t="s">
        <v>1</v>
      </c>
      <c r="H4" s="8"/>
      <c r="I4" s="8"/>
      <c r="J4" s="8"/>
      <c r="K4" s="8" t="s">
        <v>2</v>
      </c>
      <c r="L4" s="8"/>
      <c r="M4" s="8"/>
      <c r="N4" s="8"/>
      <c r="O4" s="9" t="s">
        <v>29</v>
      </c>
      <c r="P4" s="9"/>
      <c r="Q4" s="9"/>
      <c r="R4" s="9"/>
      <c r="S4" s="10" t="s">
        <v>30</v>
      </c>
      <c r="T4" s="10"/>
      <c r="U4" s="10"/>
      <c r="V4" s="10"/>
    </row>
    <row r="5" spans="2:22" ht="16.5" thickTop="1" thickBot="1" x14ac:dyDescent="0.3">
      <c r="G5" s="8"/>
      <c r="H5" s="8"/>
      <c r="I5" s="8"/>
      <c r="J5" s="8"/>
      <c r="K5" s="8"/>
      <c r="L5" s="8"/>
      <c r="M5" s="8"/>
      <c r="N5" s="8"/>
      <c r="O5" s="9"/>
      <c r="P5" s="9"/>
      <c r="Q5" s="9"/>
      <c r="R5" s="9"/>
      <c r="S5" s="10"/>
      <c r="T5" s="10"/>
      <c r="U5" s="10"/>
      <c r="V5" s="10"/>
    </row>
    <row r="6" spans="2:22" ht="16.5" thickTop="1" thickBot="1" x14ac:dyDescent="0.3">
      <c r="D6" s="11" t="s">
        <v>0</v>
      </c>
      <c r="E6" s="11"/>
      <c r="F6" s="11"/>
      <c r="G6" s="12" t="s">
        <v>4</v>
      </c>
      <c r="H6" s="12"/>
      <c r="I6" s="11" t="s">
        <v>5</v>
      </c>
      <c r="J6" s="11"/>
      <c r="K6" s="12" t="s">
        <v>4</v>
      </c>
      <c r="L6" s="12"/>
      <c r="M6" s="11" t="s">
        <v>5</v>
      </c>
      <c r="N6" s="11"/>
      <c r="O6" s="12" t="s">
        <v>4</v>
      </c>
      <c r="P6" s="12"/>
      <c r="Q6" s="11" t="s">
        <v>5</v>
      </c>
      <c r="R6" s="11"/>
      <c r="S6" s="12" t="s">
        <v>4</v>
      </c>
      <c r="T6" s="12"/>
      <c r="U6" s="11" t="s">
        <v>5</v>
      </c>
      <c r="V6" s="11"/>
    </row>
    <row r="7" spans="2:22" ht="16.5" thickTop="1" thickBot="1" x14ac:dyDescent="0.3"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6"/>
      <c r="T7" s="16"/>
      <c r="U7" s="16"/>
      <c r="V7" s="16"/>
    </row>
    <row r="8" spans="2:22" ht="16.5" thickTop="1" thickBot="1" x14ac:dyDescent="0.3">
      <c r="D8" s="11" t="s">
        <v>11</v>
      </c>
      <c r="E8" s="11"/>
      <c r="F8" s="1">
        <v>145.83000000000001</v>
      </c>
      <c r="G8" s="13">
        <f>32.45+20*LOG10(800)+20*LOG10(F8/1000)</f>
        <v>73.788737255722964</v>
      </c>
      <c r="H8" s="14"/>
      <c r="I8" s="13">
        <f>10*$D$24*LOG10(F8)+$D$26+10*$D$28*LOG10(3.4) +$D$30</f>
        <v>88.737994773771447</v>
      </c>
      <c r="J8" s="14"/>
      <c r="K8" s="13">
        <f>G8</f>
        <v>73.788737255722964</v>
      </c>
      <c r="L8" s="14"/>
      <c r="M8" s="13">
        <f>I8</f>
        <v>88.737994773771447</v>
      </c>
      <c r="N8" s="14"/>
      <c r="O8" s="47">
        <v>-62</v>
      </c>
      <c r="P8" s="15"/>
      <c r="Q8" s="13">
        <v>-68</v>
      </c>
      <c r="R8" s="46"/>
      <c r="S8" s="13">
        <v>22</v>
      </c>
      <c r="T8" s="15"/>
      <c r="U8" s="13">
        <v>38</v>
      </c>
      <c r="V8" s="46"/>
    </row>
    <row r="9" spans="2:22" ht="16.5" thickTop="1" thickBot="1" x14ac:dyDescent="0.3">
      <c r="D9" s="11"/>
      <c r="E9" s="11"/>
      <c r="F9" s="1">
        <v>183.17</v>
      </c>
      <c r="G9" s="13">
        <f t="shared" ref="G9:G16" si="0">32.45+20*LOG10(800)+20*LOG10(F9/1000)</f>
        <v>75.768886648162749</v>
      </c>
      <c r="H9" s="14"/>
      <c r="I9" s="13">
        <f>10*$D$24*LOG10(F9)+$D$26+10*$D$28*LOG10(3.4) +$D$30</f>
        <v>90.718144166211232</v>
      </c>
      <c r="J9" s="14"/>
      <c r="K9" s="13">
        <f>G9</f>
        <v>75.768886648162749</v>
      </c>
      <c r="L9" s="14"/>
      <c r="M9" s="13">
        <f t="shared" ref="M9:M16" si="1">I9</f>
        <v>90.718144166211232</v>
      </c>
      <c r="N9" s="14"/>
      <c r="O9" s="13">
        <v>-71</v>
      </c>
      <c r="P9" s="14"/>
      <c r="Q9" s="13">
        <v>-76</v>
      </c>
      <c r="R9" s="46"/>
      <c r="S9" s="13">
        <v>2</v>
      </c>
      <c r="T9" s="15"/>
      <c r="U9" s="13">
        <v>35</v>
      </c>
      <c r="V9" s="46"/>
    </row>
    <row r="10" spans="2:22" ht="16.5" thickTop="1" thickBot="1" x14ac:dyDescent="0.3">
      <c r="D10" s="11"/>
      <c r="E10" s="11"/>
      <c r="F10" s="1">
        <v>243.1</v>
      </c>
      <c r="G10" s="13">
        <f t="shared" si="0"/>
        <v>78.227498916705599</v>
      </c>
      <c r="H10" s="14"/>
      <c r="I10" s="13">
        <f>10*$D$24*LOG10(F10)+$D$26+10*$D$28*LOG10(3.4) +$D$30</f>
        <v>93.176756434754083</v>
      </c>
      <c r="J10" s="14"/>
      <c r="K10" s="13">
        <f>G10</f>
        <v>78.227498916705599</v>
      </c>
      <c r="L10" s="14"/>
      <c r="M10" s="13">
        <f t="shared" si="1"/>
        <v>93.176756434754083</v>
      </c>
      <c r="N10" s="14"/>
      <c r="O10" s="47">
        <v>-65</v>
      </c>
      <c r="P10" s="15"/>
      <c r="Q10" s="13">
        <v>-73</v>
      </c>
      <c r="R10" s="46"/>
      <c r="S10" s="13">
        <v>19</v>
      </c>
      <c r="T10" s="15"/>
      <c r="U10" s="13">
        <v>22</v>
      </c>
      <c r="V10" s="46"/>
    </row>
    <row r="11" spans="2:22" ht="16.5" thickTop="1" thickBot="1" x14ac:dyDescent="0.3">
      <c r="D11" s="11" t="s">
        <v>10</v>
      </c>
      <c r="E11" s="11"/>
      <c r="F11" s="1">
        <v>302.69</v>
      </c>
      <c r="G11" s="13">
        <f t="shared" si="0"/>
        <v>80.131761207100013</v>
      </c>
      <c r="H11" s="14"/>
      <c r="I11" s="13">
        <f>10*$G$24*LOG10(F8)+$G$26+10*$G$28*LOG10(3.4)+ $G$30</f>
        <v>88.311727614209588</v>
      </c>
      <c r="J11" s="14"/>
      <c r="K11" s="13">
        <f>G11+6</f>
        <v>86.131761207100013</v>
      </c>
      <c r="L11" s="14"/>
      <c r="M11" s="13">
        <f t="shared" si="1"/>
        <v>88.311727614209588</v>
      </c>
      <c r="N11" s="14"/>
      <c r="O11" s="13">
        <v>-58</v>
      </c>
      <c r="P11" s="14"/>
      <c r="Q11" s="13">
        <v>-71</v>
      </c>
      <c r="R11" s="46"/>
      <c r="S11" s="13">
        <v>21</v>
      </c>
      <c r="T11" s="15"/>
      <c r="U11" s="13">
        <v>21</v>
      </c>
      <c r="V11" s="46"/>
    </row>
    <row r="12" spans="2:22" ht="16.5" thickTop="1" thickBot="1" x14ac:dyDescent="0.3">
      <c r="B12" s="5"/>
      <c r="D12" s="11"/>
      <c r="E12" s="11"/>
      <c r="F12" s="1">
        <v>311.83</v>
      </c>
      <c r="G12" s="13">
        <f t="shared" si="0"/>
        <v>80.390157634105677</v>
      </c>
      <c r="H12" s="14"/>
      <c r="I12" s="13">
        <f>10*$G$24*LOG10(F9)+$G$26+10*$G$28*LOG10(3.4)+ $G$30</f>
        <v>91.083936763625275</v>
      </c>
      <c r="J12" s="14"/>
      <c r="K12" s="13">
        <f>G12+6</f>
        <v>86.390157634105677</v>
      </c>
      <c r="L12" s="14"/>
      <c r="M12" s="13">
        <f t="shared" si="1"/>
        <v>91.083936763625275</v>
      </c>
      <c r="N12" s="14"/>
      <c r="O12" s="13">
        <v>-80</v>
      </c>
      <c r="P12" s="14"/>
      <c r="Q12" s="13">
        <v>-86</v>
      </c>
      <c r="R12" s="46"/>
      <c r="S12" s="13">
        <v>5</v>
      </c>
      <c r="T12" s="15"/>
      <c r="U12" s="13">
        <v>18</v>
      </c>
      <c r="V12" s="46"/>
    </row>
    <row r="13" spans="2:22" ht="16.5" thickTop="1" thickBot="1" x14ac:dyDescent="0.3">
      <c r="D13" s="11"/>
      <c r="E13" s="11"/>
      <c r="F13" s="1">
        <v>331.88</v>
      </c>
      <c r="G13" s="13">
        <f t="shared" si="0"/>
        <v>80.931421368224846</v>
      </c>
      <c r="H13" s="14"/>
      <c r="I13" s="13">
        <f>10*$G$24*LOG10(F10)+$G$26+10*$G$28*LOG10(3.4)+ $G$30</f>
        <v>94.525993939585263</v>
      </c>
      <c r="J13" s="14"/>
      <c r="K13" s="13">
        <f>G13+6</f>
        <v>86.931421368224846</v>
      </c>
      <c r="L13" s="14"/>
      <c r="M13" s="13">
        <f t="shared" si="1"/>
        <v>94.525993939585263</v>
      </c>
      <c r="N13" s="14"/>
      <c r="O13" s="13">
        <v>-81</v>
      </c>
      <c r="P13" s="14"/>
      <c r="Q13" s="13">
        <v>-92</v>
      </c>
      <c r="R13" s="46"/>
      <c r="S13" s="13">
        <v>9</v>
      </c>
      <c r="T13" s="15"/>
      <c r="U13" s="13">
        <v>24</v>
      </c>
      <c r="V13" s="46"/>
    </row>
    <row r="14" spans="2:22" ht="16.5" thickTop="1" thickBot="1" x14ac:dyDescent="0.3">
      <c r="D14" s="11" t="s">
        <v>9</v>
      </c>
      <c r="E14" s="11"/>
      <c r="F14" s="1">
        <v>335.45</v>
      </c>
      <c r="G14" s="13">
        <f t="shared" si="0"/>
        <v>81.024355664076637</v>
      </c>
      <c r="H14" s="14"/>
      <c r="I14" s="13">
        <f>10*$J$24*LOG10(F8)+$J$26+10*$J$28*LOG10(3.4)+ $J$30</f>
        <v>118.23274007660002</v>
      </c>
      <c r="J14" s="14"/>
      <c r="K14" s="13">
        <f>G14+30</f>
        <v>111.02435566407664</v>
      </c>
      <c r="L14" s="14"/>
      <c r="M14" s="13">
        <f t="shared" si="1"/>
        <v>118.23274007660002</v>
      </c>
      <c r="N14" s="14"/>
      <c r="O14" s="47">
        <v>-84</v>
      </c>
      <c r="P14" s="15"/>
      <c r="Q14" s="13">
        <v>-81</v>
      </c>
      <c r="R14" s="46"/>
      <c r="S14" s="13">
        <v>15</v>
      </c>
      <c r="T14" s="15"/>
      <c r="U14" s="13">
        <v>35</v>
      </c>
      <c r="V14" s="46"/>
    </row>
    <row r="15" spans="2:22" ht="16.5" thickTop="1" thickBot="1" x14ac:dyDescent="0.3">
      <c r="D15" s="11"/>
      <c r="E15" s="11"/>
      <c r="F15" s="1">
        <v>320.77999999999997</v>
      </c>
      <c r="G15" s="13">
        <f t="shared" si="0"/>
        <v>80.635945400883983</v>
      </c>
      <c r="H15" s="14"/>
      <c r="I15" s="13">
        <f>10*$J$24*LOG10(F9)+$J$26+10*$J$28*LOG10(3.4)+ $J$30</f>
        <v>121.69800151336962</v>
      </c>
      <c r="J15" s="14"/>
      <c r="K15" s="13">
        <f>G15+30</f>
        <v>110.63594540088398</v>
      </c>
      <c r="L15" s="14"/>
      <c r="M15" s="13">
        <f t="shared" si="1"/>
        <v>121.69800151336962</v>
      </c>
      <c r="N15" s="14"/>
      <c r="O15" s="13">
        <v>-102</v>
      </c>
      <c r="P15" s="14"/>
      <c r="Q15" s="13">
        <v>-107</v>
      </c>
      <c r="R15" s="46"/>
      <c r="S15" s="13">
        <v>9</v>
      </c>
      <c r="T15" s="15"/>
      <c r="U15" s="13">
        <v>10</v>
      </c>
      <c r="V15" s="46"/>
    </row>
    <row r="16" spans="2:22" ht="16.5" thickTop="1" thickBot="1" x14ac:dyDescent="0.3">
      <c r="D16" s="11"/>
      <c r="E16" s="16"/>
      <c r="F16" s="1">
        <v>349.34</v>
      </c>
      <c r="G16" s="13">
        <f t="shared" si="0"/>
        <v>81.376766058070757</v>
      </c>
      <c r="H16" s="14"/>
      <c r="I16" s="13">
        <f>10*$J$24*LOG10(F10)+$J$26+10*$J$28*LOG10(3.4)+ $J$30</f>
        <v>126.0005729833196</v>
      </c>
      <c r="J16" s="14"/>
      <c r="K16" s="13">
        <f>G16+30</f>
        <v>111.37676605807076</v>
      </c>
      <c r="L16" s="14"/>
      <c r="M16" s="13">
        <f t="shared" si="1"/>
        <v>126.0005729833196</v>
      </c>
      <c r="N16" s="14"/>
      <c r="O16" s="47">
        <v>-84</v>
      </c>
      <c r="P16" s="15"/>
      <c r="Q16" s="13">
        <v>-102</v>
      </c>
      <c r="R16" s="46"/>
      <c r="S16" s="13">
        <v>12</v>
      </c>
      <c r="T16" s="15"/>
      <c r="U16" s="13">
        <v>4</v>
      </c>
      <c r="V16" s="46"/>
    </row>
    <row r="17" spans="3:51" ht="16.5" thickTop="1" thickBot="1" x14ac:dyDescent="0.3">
      <c r="E17" s="3"/>
      <c r="F17" s="4" t="s">
        <v>3</v>
      </c>
      <c r="G17" s="48" t="s">
        <v>6</v>
      </c>
      <c r="H17" s="49"/>
      <c r="I17" s="49"/>
      <c r="J17" s="49"/>
      <c r="K17" s="49"/>
      <c r="L17" s="49"/>
      <c r="M17" s="49"/>
      <c r="N17" s="50"/>
      <c r="O17" s="48" t="s">
        <v>7</v>
      </c>
      <c r="P17" s="49"/>
      <c r="Q17" s="49"/>
      <c r="R17" s="50"/>
      <c r="S17" s="48" t="s">
        <v>6</v>
      </c>
      <c r="T17" s="49"/>
      <c r="U17" s="49"/>
      <c r="V17" s="50"/>
      <c r="AY17" s="6"/>
    </row>
    <row r="20" spans="3:51" ht="15.75" thickBot="1" x14ac:dyDescent="0.3"/>
    <row r="21" spans="3:51" ht="16.5" thickTop="1" thickBot="1" x14ac:dyDescent="0.3">
      <c r="D21" s="11" t="s">
        <v>11</v>
      </c>
      <c r="E21" s="11"/>
      <c r="G21" s="26" t="s">
        <v>10</v>
      </c>
      <c r="H21" s="27"/>
      <c r="J21" s="11" t="s">
        <v>9</v>
      </c>
      <c r="K21" s="11"/>
    </row>
    <row r="22" spans="3:51" ht="16.5" thickTop="1" thickBot="1" x14ac:dyDescent="0.3">
      <c r="D22" s="11"/>
      <c r="E22" s="11"/>
      <c r="G22" s="28"/>
      <c r="H22" s="29"/>
      <c r="J22" s="11"/>
      <c r="K22" s="11"/>
    </row>
    <row r="23" spans="3:51" ht="16.5" thickTop="1" thickBot="1" x14ac:dyDescent="0.3">
      <c r="D23" s="16"/>
      <c r="E23" s="16"/>
      <c r="G23" s="28"/>
      <c r="H23" s="29"/>
      <c r="J23" s="11"/>
      <c r="K23" s="11"/>
    </row>
    <row r="24" spans="3:51" ht="15.75" thickTop="1" x14ac:dyDescent="0.25">
      <c r="C24" s="36" t="s">
        <v>12</v>
      </c>
      <c r="D24" s="42">
        <v>2</v>
      </c>
      <c r="E24" s="43"/>
      <c r="G24" s="42">
        <v>2.8</v>
      </c>
      <c r="H24" s="43"/>
      <c r="J24" s="42">
        <v>3.5</v>
      </c>
      <c r="K24" s="43"/>
    </row>
    <row r="25" spans="3:51" ht="15.75" thickBot="1" x14ac:dyDescent="0.3">
      <c r="C25" s="37"/>
      <c r="D25" s="44"/>
      <c r="E25" s="45"/>
      <c r="G25" s="44"/>
      <c r="H25" s="45"/>
      <c r="I25" s="2"/>
      <c r="J25" s="44"/>
      <c r="K25" s="45"/>
      <c r="Y25" t="s">
        <v>22</v>
      </c>
    </row>
    <row r="26" spans="3:51" ht="15.75" thickTop="1" x14ac:dyDescent="0.25">
      <c r="C26" s="36" t="s">
        <v>13</v>
      </c>
      <c r="D26" s="38">
        <v>31.4</v>
      </c>
      <c r="E26" s="39"/>
      <c r="G26" s="38">
        <v>11.4</v>
      </c>
      <c r="H26" s="39"/>
      <c r="J26" s="38">
        <v>24.4</v>
      </c>
      <c r="K26" s="39"/>
    </row>
    <row r="27" spans="3:51" ht="15.75" thickBot="1" x14ac:dyDescent="0.3">
      <c r="C27" s="37"/>
      <c r="D27" s="44"/>
      <c r="E27" s="45"/>
      <c r="G27" s="44"/>
      <c r="H27" s="45"/>
      <c r="J27" s="44"/>
      <c r="K27" s="45"/>
    </row>
    <row r="28" spans="3:51" ht="15.75" thickTop="1" x14ac:dyDescent="0.25">
      <c r="C28" s="36" t="s">
        <v>14</v>
      </c>
      <c r="D28" s="38">
        <v>2.1</v>
      </c>
      <c r="E28" s="39"/>
      <c r="G28" s="38">
        <v>2.2999999999999998</v>
      </c>
      <c r="H28" s="39"/>
      <c r="J28" s="38">
        <v>1.9</v>
      </c>
      <c r="K28" s="39"/>
    </row>
    <row r="29" spans="3:51" ht="15.75" thickBot="1" x14ac:dyDescent="0.3">
      <c r="C29" s="37"/>
      <c r="D29" s="40"/>
      <c r="E29" s="41"/>
      <c r="G29" s="40"/>
      <c r="H29" s="41"/>
      <c r="J29" s="40"/>
      <c r="K29" s="41"/>
    </row>
    <row r="30" spans="3:51" ht="15.75" thickTop="1" x14ac:dyDescent="0.25">
      <c r="C30" s="36" t="s">
        <v>21</v>
      </c>
      <c r="D30" s="38">
        <v>2.9</v>
      </c>
      <c r="E30" s="39"/>
      <c r="G30" s="38">
        <v>4.0999999999999996</v>
      </c>
      <c r="H30" s="39"/>
      <c r="J30" s="38">
        <v>8</v>
      </c>
      <c r="K30" s="39"/>
    </row>
    <row r="31" spans="3:51" ht="15.75" thickBot="1" x14ac:dyDescent="0.3">
      <c r="C31" s="37"/>
      <c r="D31" s="40"/>
      <c r="E31" s="41"/>
      <c r="G31" s="40"/>
      <c r="H31" s="41"/>
      <c r="J31" s="40"/>
      <c r="K31" s="41"/>
    </row>
  </sheetData>
  <mergeCells count="110">
    <mergeCell ref="S4:V5"/>
    <mergeCell ref="S6:T7"/>
    <mergeCell ref="U6:V7"/>
    <mergeCell ref="U8:V8"/>
    <mergeCell ref="S9:T9"/>
    <mergeCell ref="U9:V9"/>
    <mergeCell ref="O17:R17"/>
    <mergeCell ref="S17:V17"/>
    <mergeCell ref="O8:P8"/>
    <mergeCell ref="O9:P9"/>
    <mergeCell ref="O10:P10"/>
    <mergeCell ref="U16:V16"/>
    <mergeCell ref="U15:V15"/>
    <mergeCell ref="U14:V14"/>
    <mergeCell ref="S16:T16"/>
    <mergeCell ref="S15:T15"/>
    <mergeCell ref="S14:T14"/>
    <mergeCell ref="Q16:R16"/>
    <mergeCell ref="Q15:R15"/>
    <mergeCell ref="O16:P16"/>
    <mergeCell ref="Q9:R9"/>
    <mergeCell ref="Q8:R8"/>
    <mergeCell ref="D21:E23"/>
    <mergeCell ref="D24:E25"/>
    <mergeCell ref="C24:C25"/>
    <mergeCell ref="G21:H23"/>
    <mergeCell ref="J21:K23"/>
    <mergeCell ref="C26:C27"/>
    <mergeCell ref="C28:C29"/>
    <mergeCell ref="D26:E27"/>
    <mergeCell ref="D28:E29"/>
    <mergeCell ref="G24:H25"/>
    <mergeCell ref="G26:H27"/>
    <mergeCell ref="G28:H29"/>
    <mergeCell ref="J24:K25"/>
    <mergeCell ref="J26:K27"/>
    <mergeCell ref="J28:K29"/>
    <mergeCell ref="G4:J5"/>
    <mergeCell ref="G6:H7"/>
    <mergeCell ref="I6:J7"/>
    <mergeCell ref="K4:N5"/>
    <mergeCell ref="O4:R5"/>
    <mergeCell ref="K6:L7"/>
    <mergeCell ref="M6:N7"/>
    <mergeCell ref="O6:P7"/>
    <mergeCell ref="Q6:R7"/>
    <mergeCell ref="D14:E16"/>
    <mergeCell ref="G17:N17"/>
    <mergeCell ref="G8:H8"/>
    <mergeCell ref="G9:H9"/>
    <mergeCell ref="D6:F7"/>
    <mergeCell ref="G16:H16"/>
    <mergeCell ref="I8:J8"/>
    <mergeCell ref="I9:J9"/>
    <mergeCell ref="I10:J10"/>
    <mergeCell ref="I11:J11"/>
    <mergeCell ref="I12:J12"/>
    <mergeCell ref="I13:J13"/>
    <mergeCell ref="I14:J14"/>
    <mergeCell ref="I16:J16"/>
    <mergeCell ref="G10:H10"/>
    <mergeCell ref="G11:H11"/>
    <mergeCell ref="G12:H12"/>
    <mergeCell ref="G13:H13"/>
    <mergeCell ref="G14:H14"/>
    <mergeCell ref="G15:H15"/>
    <mergeCell ref="K14:L14"/>
    <mergeCell ref="K15:L15"/>
    <mergeCell ref="S8:T8"/>
    <mergeCell ref="O11:P11"/>
    <mergeCell ref="O12:P12"/>
    <mergeCell ref="O13:P13"/>
    <mergeCell ref="O14:P14"/>
    <mergeCell ref="O15:P15"/>
    <mergeCell ref="K16:L16"/>
    <mergeCell ref="M8:N8"/>
    <mergeCell ref="M9:N9"/>
    <mergeCell ref="M10:N10"/>
    <mergeCell ref="M11:N11"/>
    <mergeCell ref="M12:N12"/>
    <mergeCell ref="M13:N13"/>
    <mergeCell ref="M14:N14"/>
    <mergeCell ref="K8:L8"/>
    <mergeCell ref="K9:L9"/>
    <mergeCell ref="K10:L10"/>
    <mergeCell ref="K11:L11"/>
    <mergeCell ref="K12:L12"/>
    <mergeCell ref="K13:L13"/>
    <mergeCell ref="M16:N16"/>
    <mergeCell ref="C30:C31"/>
    <mergeCell ref="D30:E31"/>
    <mergeCell ref="G30:H31"/>
    <mergeCell ref="J30:K31"/>
    <mergeCell ref="I15:J15"/>
    <mergeCell ref="U10:V10"/>
    <mergeCell ref="U11:V11"/>
    <mergeCell ref="U12:V12"/>
    <mergeCell ref="S10:T10"/>
    <mergeCell ref="S11:T11"/>
    <mergeCell ref="S12:T12"/>
    <mergeCell ref="S13:T13"/>
    <mergeCell ref="U13:V13"/>
    <mergeCell ref="Q10:R10"/>
    <mergeCell ref="Q11:R11"/>
    <mergeCell ref="Q12:R12"/>
    <mergeCell ref="Q13:R13"/>
    <mergeCell ref="Q14:R14"/>
    <mergeCell ref="M15:N15"/>
    <mergeCell ref="D8:E10"/>
    <mergeCell ref="D11:E1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b98cd4-2a84-4fcf-9f58-f5f0505e30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9B0141A1FC124B95D5997F901DFCD5" ma:contentTypeVersion="16" ma:contentTypeDescription="Criar um novo documento." ma:contentTypeScope="" ma:versionID="daa4283457efb62b438f83664318e018">
  <xsd:schema xmlns:xsd="http://www.w3.org/2001/XMLSchema" xmlns:xs="http://www.w3.org/2001/XMLSchema" xmlns:p="http://schemas.microsoft.com/office/2006/metadata/properties" xmlns:ns3="1fb98cd4-2a84-4fcf-9f58-f5f0505e30c9" xmlns:ns4="3fe4dc1d-15ff-4406-b444-dbc725ced964" targetNamespace="http://schemas.microsoft.com/office/2006/metadata/properties" ma:root="true" ma:fieldsID="1c4a5d4e1d363f94f100ba11cf2246b6" ns3:_="" ns4:_="">
    <xsd:import namespace="1fb98cd4-2a84-4fcf-9f58-f5f0505e30c9"/>
    <xsd:import namespace="3fe4dc1d-15ff-4406-b444-dbc725ced9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DateTaken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b98cd4-2a84-4fcf-9f58-f5f0505e3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4dc1d-15ff-4406-b444-dbc725ced964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78E1D2-856B-4975-9BBA-91F001B2441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3fe4dc1d-15ff-4406-b444-dbc725ced964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1fb98cd4-2a84-4fcf-9f58-f5f0505e30c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795DE9C-B04F-42A5-B5B3-33E9A151AE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B1D94-6772-4426-867C-8ADB6C5B48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b98cd4-2a84-4fcf-9f58-f5f0505e30c9"/>
    <ds:schemaRef ds:uri="3fe4dc1d-15ff-4406-b444-dbc725ced9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Teórico</vt:lpstr>
      <vt:lpstr>Teórico (2)</vt:lpstr>
      <vt:lpstr>Obtido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Vasco Cananao Mendes</dc:creator>
  <cp:lastModifiedBy>Vasco Cananao Mendes</cp:lastModifiedBy>
  <cp:lastPrinted>2025-12-15T23:32:14Z</cp:lastPrinted>
  <dcterms:created xsi:type="dcterms:W3CDTF">2025-10-28T23:03:33Z</dcterms:created>
  <dcterms:modified xsi:type="dcterms:W3CDTF">2025-12-16T01:25:56Z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0x010100819B0141A1FC124B95D5997F901DFCD5</vt:lpwstr>
  </property>
</Properties>
</file>