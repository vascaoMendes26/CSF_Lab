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asco\Desktop\Mestrado\Tele\CSF_Lab\"/>
    </mc:Choice>
  </mc:AlternateContent>
  <xr:revisionPtr revIDLastSave="0" documentId="13_ncr:1_{FAC7311D-1ACA-4168-9A31-33B795F10FE6}" xr6:coauthVersionLast="47" xr6:coauthVersionMax="47" xr10:uidLastSave="{00000000-0000-0000-0000-000000000000}"/>
  <bookViews>
    <workbookView xWindow="-120" yWindow="-120" windowWidth="29040" windowHeight="15720" xr2:uid="{D4ADC6CF-8AED-4095-A033-F153F8AA1638}"/>
  </bookViews>
  <sheets>
    <sheet name="Teórico" sheetId="2" r:id="rId1"/>
    <sheet name="Teórico (2)" sheetId="3" state="hidden" r:id="rId2"/>
    <sheet name="Obtido" sheetId="1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D23" i="2" l="1"/>
  <c r="BD24" i="2"/>
  <c r="BD25" i="2"/>
  <c r="BD26" i="2"/>
  <c r="BD27" i="2"/>
  <c r="BD28" i="2"/>
  <c r="BD29" i="2"/>
  <c r="BD30" i="2"/>
  <c r="BD22" i="2"/>
  <c r="BC23" i="2"/>
  <c r="BC24" i="2"/>
  <c r="BC25" i="2"/>
  <c r="BC26" i="2"/>
  <c r="BC27" i="2"/>
  <c r="BC28" i="2"/>
  <c r="BC29" i="2"/>
  <c r="BC30" i="2"/>
  <c r="BC22" i="2"/>
  <c r="BB23" i="2"/>
  <c r="BB24" i="2"/>
  <c r="BB25" i="2"/>
  <c r="BB26" i="2"/>
  <c r="BB27" i="2"/>
  <c r="BB28" i="2"/>
  <c r="BB29" i="2"/>
  <c r="BB30" i="2"/>
  <c r="BB22" i="2"/>
  <c r="BA23" i="2"/>
  <c r="BA24" i="2"/>
  <c r="BA25" i="2"/>
  <c r="BA26" i="2"/>
  <c r="BA27" i="2"/>
  <c r="BA28" i="2"/>
  <c r="BA29" i="2"/>
  <c r="BA30" i="2"/>
  <c r="BA22" i="2"/>
  <c r="AZ23" i="2"/>
  <c r="AZ24" i="2"/>
  <c r="AZ25" i="2"/>
  <c r="AZ26" i="2"/>
  <c r="AZ27" i="2"/>
  <c r="AZ28" i="2"/>
  <c r="AZ29" i="2"/>
  <c r="AZ30" i="2"/>
  <c r="AZ22" i="2"/>
  <c r="AY23" i="2"/>
  <c r="AY24" i="2"/>
  <c r="AY25" i="2"/>
  <c r="AY26" i="2"/>
  <c r="AY27" i="2"/>
  <c r="AY28" i="2"/>
  <c r="AY29" i="2"/>
  <c r="AY30" i="2"/>
  <c r="AY22" i="2"/>
  <c r="G9" i="3"/>
  <c r="G8" i="3"/>
  <c r="K8" i="3" s="1"/>
  <c r="K9" i="3"/>
  <c r="I16" i="3"/>
  <c r="M16" i="3" s="1"/>
  <c r="G16" i="3"/>
  <c r="K16" i="3" s="1"/>
  <c r="M15" i="3"/>
  <c r="K15" i="3"/>
  <c r="I15" i="3"/>
  <c r="G15" i="3"/>
  <c r="I14" i="3"/>
  <c r="M14" i="3" s="1"/>
  <c r="G14" i="3"/>
  <c r="K14" i="3" s="1"/>
  <c r="I13" i="3"/>
  <c r="M13" i="3" s="1"/>
  <c r="G13" i="3"/>
  <c r="K13" i="3" s="1"/>
  <c r="K12" i="3"/>
  <c r="I12" i="3"/>
  <c r="M12" i="3" s="1"/>
  <c r="G12" i="3"/>
  <c r="I11" i="3"/>
  <c r="M11" i="3" s="1"/>
  <c r="G11" i="3"/>
  <c r="K11" i="3" s="1"/>
  <c r="I10" i="3"/>
  <c r="M10" i="3" s="1"/>
  <c r="G10" i="3"/>
  <c r="K10" i="3" s="1"/>
  <c r="I9" i="3"/>
  <c r="M9" i="3" s="1"/>
  <c r="I8" i="3"/>
  <c r="M8" i="3" s="1"/>
  <c r="I16" i="2"/>
  <c r="M16" i="2" s="1"/>
  <c r="G16" i="2"/>
  <c r="K16" i="2" s="1"/>
  <c r="S16" i="2" s="1"/>
  <c r="BE16" i="2" s="1"/>
  <c r="I15" i="2"/>
  <c r="M15" i="2" s="1"/>
  <c r="G15" i="2"/>
  <c r="K15" i="2" s="1"/>
  <c r="I14" i="2"/>
  <c r="M14" i="2" s="1"/>
  <c r="G14" i="2"/>
  <c r="K14" i="2" s="1"/>
  <c r="S14" i="2" s="1"/>
  <c r="BE14" i="2" s="1"/>
  <c r="I13" i="2"/>
  <c r="M13" i="2" s="1"/>
  <c r="G13" i="2"/>
  <c r="K13" i="2" s="1"/>
  <c r="I12" i="2"/>
  <c r="M12" i="2" s="1"/>
  <c r="G12" i="2"/>
  <c r="K12" i="2" s="1"/>
  <c r="I11" i="2"/>
  <c r="M11" i="2" s="1"/>
  <c r="G11" i="2"/>
  <c r="K11" i="2" s="1"/>
  <c r="I10" i="2"/>
  <c r="M10" i="2" s="1"/>
  <c r="G10" i="2"/>
  <c r="K10" i="2" s="1"/>
  <c r="I9" i="2"/>
  <c r="M9" i="2" s="1"/>
  <c r="G9" i="2"/>
  <c r="K9" i="2" s="1"/>
  <c r="I8" i="2"/>
  <c r="M8" i="2" s="1"/>
  <c r="G8" i="2"/>
  <c r="K8" i="2" s="1"/>
  <c r="I16" i="1"/>
  <c r="M16" i="1" s="1"/>
  <c r="I15" i="1"/>
  <c r="M15" i="1" s="1"/>
  <c r="I14" i="1"/>
  <c r="M14" i="1" s="1"/>
  <c r="I12" i="1"/>
  <c r="M12" i="1" s="1"/>
  <c r="I13" i="1"/>
  <c r="M13" i="1" s="1"/>
  <c r="I11" i="1"/>
  <c r="M11" i="1" s="1"/>
  <c r="I9" i="1"/>
  <c r="M9" i="1" s="1"/>
  <c r="I10" i="1"/>
  <c r="M10" i="1" s="1"/>
  <c r="I8" i="1"/>
  <c r="M8" i="1" s="1"/>
  <c r="G9" i="1"/>
  <c r="K9" i="1" s="1"/>
  <c r="G10" i="1"/>
  <c r="K10" i="1" s="1"/>
  <c r="G11" i="1"/>
  <c r="K11" i="1" s="1"/>
  <c r="G12" i="1"/>
  <c r="K12" i="1" s="1"/>
  <c r="G13" i="1"/>
  <c r="K13" i="1" s="1"/>
  <c r="G14" i="1"/>
  <c r="K14" i="1" s="1"/>
  <c r="G15" i="1"/>
  <c r="K15" i="1" s="1"/>
  <c r="G16" i="1"/>
  <c r="K16" i="1" s="1"/>
  <c r="G8" i="1"/>
  <c r="K8" i="1" s="1"/>
  <c r="BC16" i="2" l="1"/>
  <c r="BC14" i="2"/>
  <c r="Y14" i="3"/>
  <c r="U14" i="3"/>
  <c r="Q14" i="3"/>
  <c r="W8" i="3"/>
  <c r="S8" i="3"/>
  <c r="O8" i="3"/>
  <c r="Y8" i="3"/>
  <c r="U8" i="3"/>
  <c r="Q8" i="3"/>
  <c r="W9" i="3"/>
  <c r="S9" i="3"/>
  <c r="O9" i="3"/>
  <c r="Y9" i="3"/>
  <c r="U9" i="3"/>
  <c r="Q9" i="3"/>
  <c r="W10" i="3"/>
  <c r="S10" i="3"/>
  <c r="O10" i="3"/>
  <c r="Y10" i="3"/>
  <c r="U10" i="3"/>
  <c r="Q10" i="3"/>
  <c r="W11" i="3"/>
  <c r="S11" i="3"/>
  <c r="O11" i="3"/>
  <c r="Y11" i="3"/>
  <c r="U11" i="3"/>
  <c r="Q11" i="3"/>
  <c r="Y12" i="3"/>
  <c r="U12" i="3"/>
  <c r="Q12" i="3"/>
  <c r="W13" i="3"/>
  <c r="S13" i="3"/>
  <c r="O13" i="3"/>
  <c r="Y13" i="3"/>
  <c r="U13" i="3"/>
  <c r="Q13" i="3"/>
  <c r="W14" i="3"/>
  <c r="S14" i="3"/>
  <c r="O14" i="3"/>
  <c r="W16" i="3"/>
  <c r="S16" i="3"/>
  <c r="O16" i="3"/>
  <c r="Y16" i="3"/>
  <c r="U16" i="3"/>
  <c r="Q16" i="3"/>
  <c r="W12" i="3"/>
  <c r="S12" i="3"/>
  <c r="O12" i="3"/>
  <c r="W15" i="3"/>
  <c r="S15" i="3"/>
  <c r="Y15" i="3"/>
  <c r="U15" i="3"/>
  <c r="Q15" i="3"/>
  <c r="O15" i="3"/>
  <c r="AE14" i="2"/>
  <c r="AQ14" i="2"/>
  <c r="W8" i="2"/>
  <c r="O8" i="2"/>
  <c r="W15" i="2"/>
  <c r="O15" i="2"/>
  <c r="Q8" i="2"/>
  <c r="Y8" i="2"/>
  <c r="Q15" i="2"/>
  <c r="Y15" i="2"/>
  <c r="U15" i="2"/>
  <c r="S8" i="2"/>
  <c r="S15" i="2"/>
  <c r="U8" i="2"/>
  <c r="O16" i="2"/>
  <c r="W16" i="2"/>
  <c r="O9" i="2"/>
  <c r="W9" i="2"/>
  <c r="Q16" i="2"/>
  <c r="Y16" i="2"/>
  <c r="U16" i="2"/>
  <c r="Q9" i="2"/>
  <c r="Y9" i="2"/>
  <c r="U9" i="2"/>
  <c r="S9" i="2"/>
  <c r="W10" i="2"/>
  <c r="O10" i="2"/>
  <c r="Q10" i="2"/>
  <c r="Y10" i="2"/>
  <c r="U10" i="2"/>
  <c r="S10" i="2"/>
  <c r="O11" i="2"/>
  <c r="W11" i="2"/>
  <c r="Q11" i="2"/>
  <c r="Y11" i="2"/>
  <c r="U11" i="2"/>
  <c r="S11" i="2"/>
  <c r="W12" i="2"/>
  <c r="O12" i="2"/>
  <c r="Q12" i="2"/>
  <c r="Y12" i="2"/>
  <c r="U12" i="2"/>
  <c r="S12" i="2"/>
  <c r="O13" i="2"/>
  <c r="W13" i="2"/>
  <c r="Q13" i="2"/>
  <c r="Y13" i="2"/>
  <c r="U13" i="2"/>
  <c r="S13" i="2"/>
  <c r="W14" i="2"/>
  <c r="O14" i="2"/>
  <c r="Q14" i="2"/>
  <c r="Y14" i="2"/>
  <c r="U14" i="2"/>
  <c r="AQ16" i="2"/>
  <c r="AE16" i="2"/>
  <c r="BH15" i="2" l="1"/>
  <c r="BJ15" i="2"/>
  <c r="BH14" i="2"/>
  <c r="BJ14" i="2"/>
  <c r="BH10" i="2"/>
  <c r="BJ10" i="2"/>
  <c r="BH13" i="2"/>
  <c r="BJ13" i="2"/>
  <c r="BH9" i="2"/>
  <c r="BJ9" i="2"/>
  <c r="BH16" i="2"/>
  <c r="BJ16" i="2"/>
  <c r="BH12" i="2"/>
  <c r="BJ12" i="2"/>
  <c r="BH11" i="2"/>
  <c r="BJ11" i="2"/>
  <c r="BB11" i="2"/>
  <c r="AZ11" i="2"/>
  <c r="BI11" i="2"/>
  <c r="BG11" i="2"/>
  <c r="BF15" i="2"/>
  <c r="BD15" i="2"/>
  <c r="BF14" i="2"/>
  <c r="BD14" i="2"/>
  <c r="BB15" i="2"/>
  <c r="AZ15" i="2"/>
  <c r="BF10" i="2"/>
  <c r="BD10" i="2"/>
  <c r="BJ8" i="2"/>
  <c r="BH8" i="2"/>
  <c r="BB8" i="2"/>
  <c r="AZ8" i="2"/>
  <c r="BI14" i="2"/>
  <c r="BG14" i="2"/>
  <c r="BB10" i="2"/>
  <c r="AZ10" i="2"/>
  <c r="BG15" i="2"/>
  <c r="BI15" i="2"/>
  <c r="BF13" i="2"/>
  <c r="BD13" i="2"/>
  <c r="BI10" i="2"/>
  <c r="BG10" i="2"/>
  <c r="BG8" i="2"/>
  <c r="BI8" i="2"/>
  <c r="BB13" i="2"/>
  <c r="AZ13" i="2"/>
  <c r="BF9" i="2"/>
  <c r="BD9" i="2"/>
  <c r="BI13" i="2"/>
  <c r="BG13" i="2"/>
  <c r="BB9" i="2"/>
  <c r="AZ9" i="2"/>
  <c r="BD16" i="2"/>
  <c r="BF16" i="2"/>
  <c r="BF12" i="2"/>
  <c r="BD12" i="2"/>
  <c r="BB16" i="2"/>
  <c r="AZ16" i="2"/>
  <c r="BB12" i="2"/>
  <c r="AZ12" i="2"/>
  <c r="BI9" i="2"/>
  <c r="BG9" i="2"/>
  <c r="BI12" i="2"/>
  <c r="BG12" i="2"/>
  <c r="BG16" i="2"/>
  <c r="BI16" i="2"/>
  <c r="BB14" i="2"/>
  <c r="AZ14" i="2"/>
  <c r="BF11" i="2"/>
  <c r="BD11" i="2"/>
  <c r="BD8" i="2"/>
  <c r="BF8" i="2"/>
  <c r="BC9" i="2"/>
  <c r="BE9" i="2"/>
  <c r="BE8" i="2"/>
  <c r="BC8" i="2"/>
  <c r="AY11" i="2"/>
  <c r="BA11" i="2"/>
  <c r="BC10" i="2"/>
  <c r="BE10" i="2"/>
  <c r="BE13" i="2"/>
  <c r="BC13" i="2"/>
  <c r="AY10" i="2"/>
  <c r="BA10" i="2"/>
  <c r="BA8" i="2"/>
  <c r="AY8" i="2"/>
  <c r="AY13" i="2"/>
  <c r="BA13" i="2"/>
  <c r="BE12" i="2"/>
  <c r="BC12" i="2"/>
  <c r="AY12" i="2"/>
  <c r="BA12" i="2"/>
  <c r="AY9" i="2"/>
  <c r="BA9" i="2"/>
  <c r="BE11" i="2"/>
  <c r="BC11" i="2"/>
  <c r="BA16" i="2"/>
  <c r="AY16" i="2"/>
  <c r="AY14" i="2"/>
  <c r="BA14" i="2"/>
  <c r="BA15" i="2"/>
  <c r="AY15" i="2"/>
  <c r="BE15" i="2"/>
  <c r="BC15" i="2"/>
  <c r="AE20" i="2"/>
  <c r="AE23" i="2"/>
  <c r="AE24" i="2"/>
  <c r="AE25" i="2"/>
  <c r="AE26" i="2"/>
  <c r="AE27" i="2"/>
  <c r="AE28" i="2"/>
  <c r="AE29" i="2"/>
  <c r="AE22" i="2"/>
  <c r="AQ20" i="2"/>
  <c r="AQ23" i="2"/>
  <c r="AQ24" i="2"/>
  <c r="AQ25" i="2"/>
  <c r="AQ26" i="2"/>
  <c r="AQ27" i="2"/>
  <c r="AQ28" i="2"/>
  <c r="AQ29" i="2"/>
  <c r="AQ22" i="2"/>
  <c r="AG16" i="3"/>
  <c r="AS16" i="3"/>
  <c r="AW16" i="3"/>
  <c r="AK16" i="3"/>
  <c r="AW10" i="3"/>
  <c r="AK10" i="3"/>
  <c r="AI16" i="3"/>
  <c r="AU16" i="3"/>
  <c r="AA14" i="3"/>
  <c r="AM14" i="3"/>
  <c r="AE14" i="3"/>
  <c r="AQ14" i="3"/>
  <c r="AI14" i="3"/>
  <c r="AU14" i="3"/>
  <c r="AC13" i="3"/>
  <c r="AO13" i="3"/>
  <c r="AE13" i="3"/>
  <c r="AQ13" i="3"/>
  <c r="AI11" i="3"/>
  <c r="AU11" i="3"/>
  <c r="AC10" i="3"/>
  <c r="AO10" i="3"/>
  <c r="AA16" i="3"/>
  <c r="AM16" i="3"/>
  <c r="AG10" i="3"/>
  <c r="AS10" i="3"/>
  <c r="AE16" i="3"/>
  <c r="AQ16" i="3"/>
  <c r="AA10" i="3"/>
  <c r="AM10" i="3"/>
  <c r="AE10" i="3"/>
  <c r="AQ10" i="3"/>
  <c r="AI10" i="3"/>
  <c r="AU10" i="3"/>
  <c r="AC9" i="3"/>
  <c r="AO9" i="3"/>
  <c r="AG9" i="3"/>
  <c r="AS9" i="3"/>
  <c r="AG13" i="3"/>
  <c r="AS13" i="3"/>
  <c r="AW9" i="3"/>
  <c r="AK9" i="3"/>
  <c r="AK13" i="3"/>
  <c r="AW13" i="3"/>
  <c r="AA9" i="3"/>
  <c r="AM9" i="3"/>
  <c r="AA13" i="3"/>
  <c r="AM13" i="3"/>
  <c r="AE9" i="3"/>
  <c r="AQ9" i="3"/>
  <c r="AA15" i="3"/>
  <c r="AM15" i="3"/>
  <c r="AI9" i="3"/>
  <c r="AU9" i="3"/>
  <c r="AC15" i="3"/>
  <c r="AO15" i="3"/>
  <c r="AI13" i="3"/>
  <c r="AU13" i="3"/>
  <c r="AC8" i="3"/>
  <c r="AO8" i="3"/>
  <c r="AG15" i="3"/>
  <c r="AS15" i="3"/>
  <c r="AC12" i="3"/>
  <c r="AO12" i="3"/>
  <c r="AG8" i="3"/>
  <c r="AS8" i="3"/>
  <c r="AK15" i="3"/>
  <c r="AW15" i="3"/>
  <c r="AG12" i="3"/>
  <c r="AS12" i="3"/>
  <c r="AK8" i="3"/>
  <c r="AW8" i="3"/>
  <c r="AE15" i="3"/>
  <c r="AQ15" i="3"/>
  <c r="AW12" i="3"/>
  <c r="AK12" i="3"/>
  <c r="AA8" i="3"/>
  <c r="AM8" i="3"/>
  <c r="AI15" i="3"/>
  <c r="AU15" i="3"/>
  <c r="AC11" i="3"/>
  <c r="AO11" i="3"/>
  <c r="AE8" i="3"/>
  <c r="AQ8" i="3"/>
  <c r="AA12" i="3"/>
  <c r="AM12" i="3"/>
  <c r="AG11" i="3"/>
  <c r="AS11" i="3"/>
  <c r="AI8" i="3"/>
  <c r="AU8" i="3"/>
  <c r="AE12" i="3"/>
  <c r="AQ12" i="3"/>
  <c r="AK11" i="3"/>
  <c r="AW11" i="3"/>
  <c r="AC14" i="3"/>
  <c r="AO14" i="3"/>
  <c r="AI12" i="3"/>
  <c r="AU12" i="3"/>
  <c r="AA11" i="3"/>
  <c r="AM11" i="3"/>
  <c r="AG14" i="3"/>
  <c r="AS14" i="3"/>
  <c r="AC16" i="3"/>
  <c r="AO16" i="3"/>
  <c r="AE11" i="3"/>
  <c r="AQ11" i="3"/>
  <c r="AW14" i="3"/>
  <c r="AK14" i="3"/>
  <c r="AM14" i="2"/>
  <c r="AA14" i="2"/>
  <c r="AM13" i="2"/>
  <c r="AA13" i="2"/>
  <c r="AC9" i="2"/>
  <c r="AO9" i="2"/>
  <c r="AQ12" i="2"/>
  <c r="AE12" i="2"/>
  <c r="AS16" i="2"/>
  <c r="AG16" i="2"/>
  <c r="AS12" i="2"/>
  <c r="AG12" i="2"/>
  <c r="AW16" i="2"/>
  <c r="AK16" i="2"/>
  <c r="AW12" i="2"/>
  <c r="AK12" i="2"/>
  <c r="AC16" i="2"/>
  <c r="AO16" i="2"/>
  <c r="AO12" i="2"/>
  <c r="AC12" i="2"/>
  <c r="AU9" i="2"/>
  <c r="AI9" i="2"/>
  <c r="AM12" i="2"/>
  <c r="AA12" i="2"/>
  <c r="AM9" i="2"/>
  <c r="AA9" i="2"/>
  <c r="AI12" i="2"/>
  <c r="AU12" i="2"/>
  <c r="AU16" i="2"/>
  <c r="AI16" i="2"/>
  <c r="AQ11" i="2"/>
  <c r="AE11" i="2"/>
  <c r="AM16" i="2"/>
  <c r="AA16" i="2"/>
  <c r="AA20" i="2" s="1"/>
  <c r="AS11" i="2"/>
  <c r="AG11" i="2"/>
  <c r="AS8" i="2"/>
  <c r="AG8" i="2"/>
  <c r="AW11" i="2"/>
  <c r="AK11" i="2"/>
  <c r="AQ15" i="2"/>
  <c r="AE15" i="2"/>
  <c r="AC11" i="2"/>
  <c r="AO11" i="2"/>
  <c r="AQ8" i="2"/>
  <c r="AE8" i="2"/>
  <c r="AU11" i="2"/>
  <c r="AI11" i="2"/>
  <c r="AG15" i="2"/>
  <c r="AS15" i="2"/>
  <c r="AS14" i="2"/>
  <c r="AG14" i="2"/>
  <c r="AM11" i="2"/>
  <c r="AA11" i="2"/>
  <c r="AK15" i="2"/>
  <c r="AW15" i="2"/>
  <c r="AW14" i="2"/>
  <c r="AK14" i="2"/>
  <c r="AQ10" i="2"/>
  <c r="AE10" i="2"/>
  <c r="AO15" i="2"/>
  <c r="AC15" i="2"/>
  <c r="AO14" i="2"/>
  <c r="AC14" i="2"/>
  <c r="AC20" i="2" s="1"/>
  <c r="AS10" i="2"/>
  <c r="AG10" i="2"/>
  <c r="AW8" i="2"/>
  <c r="AK8" i="2"/>
  <c r="AW10" i="2"/>
  <c r="AK10" i="2"/>
  <c r="AO8" i="2"/>
  <c r="AC8" i="2"/>
  <c r="AU14" i="2"/>
  <c r="AI14" i="2"/>
  <c r="AI20" i="2" s="1"/>
  <c r="AO10" i="2"/>
  <c r="AC10" i="2"/>
  <c r="AM15" i="2"/>
  <c r="AA15" i="2"/>
  <c r="AQ13" i="2"/>
  <c r="AE13" i="2"/>
  <c r="AM10" i="2"/>
  <c r="AA10" i="2"/>
  <c r="AU15" i="2"/>
  <c r="AI15" i="2"/>
  <c r="AS13" i="2"/>
  <c r="AG13" i="2"/>
  <c r="AI10" i="2"/>
  <c r="AU10" i="2"/>
  <c r="AM8" i="2"/>
  <c r="AA8" i="2"/>
  <c r="AK13" i="2"/>
  <c r="AW13" i="2"/>
  <c r="AQ9" i="2"/>
  <c r="AE9" i="2"/>
  <c r="AI8" i="2"/>
  <c r="AU8" i="2"/>
  <c r="AC13" i="2"/>
  <c r="AO13" i="2"/>
  <c r="AS9" i="2"/>
  <c r="AG9" i="2"/>
  <c r="AU13" i="2"/>
  <c r="AI13" i="2"/>
  <c r="AW9" i="2"/>
  <c r="AK9" i="2"/>
  <c r="AW20" i="2" l="1"/>
  <c r="AW23" i="2"/>
  <c r="AW24" i="2"/>
  <c r="AW25" i="2"/>
  <c r="AW26" i="2"/>
  <c r="AW27" i="2"/>
  <c r="AW28" i="2"/>
  <c r="AW29" i="2"/>
  <c r="AW22" i="2"/>
  <c r="AU25" i="2"/>
  <c r="AU26" i="2"/>
  <c r="AU27" i="2"/>
  <c r="AU28" i="2"/>
  <c r="AU29" i="2"/>
  <c r="AU22" i="2"/>
  <c r="AU23" i="2"/>
  <c r="AU24" i="2"/>
  <c r="AO28" i="2"/>
  <c r="AO29" i="2"/>
  <c r="AO22" i="2"/>
  <c r="AO20" i="2"/>
  <c r="AO23" i="2"/>
  <c r="AO24" i="2"/>
  <c r="AO25" i="2"/>
  <c r="AO26" i="2"/>
  <c r="AO27" i="2"/>
  <c r="AK20" i="2"/>
  <c r="AK23" i="2"/>
  <c r="AK24" i="2"/>
  <c r="AK25" i="2"/>
  <c r="AK26" i="2"/>
  <c r="AK27" i="2"/>
  <c r="AK28" i="2"/>
  <c r="AK29" i="2"/>
  <c r="AK22" i="2"/>
  <c r="AM23" i="2"/>
  <c r="AM24" i="2"/>
  <c r="AM25" i="2"/>
  <c r="AM26" i="2"/>
  <c r="AM27" i="2"/>
  <c r="AM20" i="2"/>
  <c r="AM28" i="2"/>
  <c r="AM29" i="2"/>
  <c r="AM22" i="2"/>
  <c r="AG23" i="2"/>
  <c r="AG24" i="2"/>
  <c r="AG25" i="2"/>
  <c r="AG26" i="2"/>
  <c r="AG27" i="2"/>
  <c r="AG20" i="2"/>
  <c r="AG28" i="2"/>
  <c r="AG29" i="2"/>
  <c r="AG22" i="2"/>
  <c r="AS23" i="2"/>
  <c r="AS24" i="2"/>
  <c r="AS25" i="2"/>
  <c r="AS26" i="2"/>
  <c r="AS20" i="2"/>
  <c r="AS27" i="2"/>
  <c r="AS28" i="2"/>
  <c r="AS29" i="2"/>
  <c r="AS22" i="2"/>
  <c r="AI26" i="2"/>
  <c r="AI27" i="2"/>
  <c r="AI28" i="2"/>
  <c r="AI29" i="2"/>
  <c r="AI22" i="2"/>
  <c r="AI23" i="2"/>
  <c r="AI24" i="2"/>
  <c r="AI25" i="2"/>
  <c r="AU20" i="2"/>
  <c r="AA23" i="2"/>
  <c r="AA24" i="2"/>
  <c r="AA25" i="2"/>
  <c r="AA26" i="2"/>
  <c r="AA27" i="2"/>
  <c r="AA28" i="2"/>
  <c r="AA29" i="2"/>
  <c r="AA22" i="2"/>
  <c r="AC23" i="2"/>
  <c r="AC24" i="2"/>
  <c r="AC25" i="2"/>
  <c r="AC26" i="2"/>
  <c r="AC27" i="2"/>
  <c r="AC28" i="2"/>
  <c r="AC29" i="2"/>
  <c r="AC22" i="2"/>
</calcChain>
</file>

<file path=xl/sharedStrings.xml><?xml version="1.0" encoding="utf-8"?>
<sst xmlns="http://schemas.openxmlformats.org/spreadsheetml/2006/main" count="190" uniqueCount="51">
  <si>
    <t>Pontos Faculdade</t>
  </si>
  <si>
    <t>Atenuação do ar</t>
  </si>
  <si>
    <t>Atenuação total</t>
  </si>
  <si>
    <t>metros</t>
  </si>
  <si>
    <t>F1(800MHz)</t>
  </si>
  <si>
    <t>F2(3.4GHz)</t>
  </si>
  <si>
    <t>dB</t>
  </si>
  <si>
    <t>dBm</t>
  </si>
  <si>
    <t>LFSPL(dB) ≈ 32.45+20log10(f[MHz])+20log10(d[km])</t>
  </si>
  <si>
    <t>3(NLOS_Interior)</t>
  </si>
  <si>
    <t>2(NLOS_Exterior)</t>
  </si>
  <si>
    <t>1(LOS_Exterior)</t>
  </si>
  <si>
    <t>α</t>
  </si>
  <si>
    <t>β</t>
  </si>
  <si>
    <t>γ</t>
  </si>
  <si>
    <t>PLTotal=PL+Atenuação_Obst</t>
  </si>
  <si>
    <t>Potência_Recebida = P_enviada - PLTotal</t>
  </si>
  <si>
    <t>Potência Recebida 1(250mW)</t>
  </si>
  <si>
    <t>Potência Recebida 2(2W)</t>
  </si>
  <si>
    <t>Potência Recebida 3(20W)</t>
  </si>
  <si>
    <r>
      <t xml:space="preserve">PLABG​(f,d)=10αlog10​(d_m)+β+10*γ*log10​(f_GHz) +  </t>
    </r>
    <r>
      <rPr>
        <sz val="9"/>
        <color theme="1"/>
        <rFont val="Aptos Narrow"/>
        <family val="2"/>
      </rPr>
      <t>σ</t>
    </r>
  </si>
  <si>
    <t>σ</t>
  </si>
  <si>
    <t>«</t>
  </si>
  <si>
    <t>SNR1</t>
  </si>
  <si>
    <t>SNR2</t>
  </si>
  <si>
    <t>SNR3</t>
  </si>
  <si>
    <t>95dBm</t>
  </si>
  <si>
    <t>105dBm</t>
  </si>
  <si>
    <t>SNR=P_Recebida-Noise_Floor</t>
  </si>
  <si>
    <t>Potência Recebida(Dados de Campo)</t>
  </si>
  <si>
    <t>SINR((Dados de Campo))</t>
  </si>
  <si>
    <t>Modulação</t>
  </si>
  <si>
    <t>SNR Alvo (Tabela 3)</t>
  </si>
  <si>
    <t>QPSK</t>
  </si>
  <si>
    <t>64-QAM</t>
  </si>
  <si>
    <t>256-QAM</t>
  </si>
  <si>
    <t>Diversidade</t>
  </si>
  <si>
    <t xml:space="preserve">SNR Disponível (250mW)/Acréscimo de potência alguns valores </t>
  </si>
  <si>
    <t xml:space="preserve">SNR Disponível (2W)/Acréscimo de potência alguns valores </t>
  </si>
  <si>
    <t xml:space="preserve">SNR Disponível (20W)/Acréscimo de potência alguns valores </t>
  </si>
  <si>
    <t>S=Prx[Watt]/(Lamda^2 / 4pi)</t>
  </si>
  <si>
    <t>W/m^2</t>
  </si>
  <si>
    <t>NoifseFloor_Req64QAM(20dB) F=800</t>
  </si>
  <si>
    <t>NoifseFloor_Req64QAM(20dB) F=3.4GHz</t>
  </si>
  <si>
    <t>NoifseFloor_Req256QAM(30.4dB)  F=800</t>
  </si>
  <si>
    <t>NoifseFloor_Req256QAM(30.4dB)  F=3.4GHz</t>
  </si>
  <si>
    <t>2W</t>
  </si>
  <si>
    <t>20W</t>
  </si>
  <si>
    <t>Densidade de Potência (W/m^2) 3,4GHz</t>
  </si>
  <si>
    <t>Densidade de Potência (W/m^2) 800MHz</t>
  </si>
  <si>
    <t>250mW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</si>
</sst>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7" x14ac:knownFonts="1"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9"/>
      <color theme="1"/>
      <name val="Times New Roman"/>
      <family val="1"/>
    </font>
    <font>
      <u/>
      <sz val="11"/>
      <color theme="1"/>
      <name val="Aptos Narrow"/>
      <family val="2"/>
      <scheme val="minor"/>
    </font>
    <font>
      <sz val="9"/>
      <color theme="1"/>
      <name val="Aptos Narrow"/>
      <family val="2"/>
    </font>
    <font>
      <sz val="11"/>
      <color rgb="FF1F1F1F"/>
      <name val="Arial"/>
      <family val="2"/>
    </font>
    <font>
      <b/>
      <sz val="11"/>
      <color rgb="FF1F1F1F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4"/>
        <bgColor indexed="64"/>
      </patternFill>
    </fill>
  </fills>
  <borders count="43">
    <border>
      <left/>
      <right/>
      <top/>
      <bottom/>
      <diagonal/>
    </border>
    <border>
      <left style="thick">
        <color theme="1" tint="4.9989318521683403E-2"/>
      </left>
      <right style="thick">
        <color theme="1" tint="4.9989318521683403E-2"/>
      </right>
      <top style="thick">
        <color theme="1" tint="4.9989318521683403E-2"/>
      </top>
      <bottom style="thick">
        <color theme="1" tint="4.9989318521683403E-2"/>
      </bottom>
      <diagonal/>
    </border>
    <border>
      <left style="thick">
        <color theme="1" tint="4.9989318521683403E-2"/>
      </left>
      <right style="thick">
        <color theme="1" tint="4.9989318521683403E-2"/>
      </right>
      <top/>
      <bottom style="thick">
        <color theme="1" tint="4.9989318521683403E-2"/>
      </bottom>
      <diagonal/>
    </border>
    <border>
      <left style="thick">
        <color theme="1" tint="4.9989318521683403E-2"/>
      </left>
      <right/>
      <top style="thick">
        <color theme="1" tint="4.9989318521683403E-2"/>
      </top>
      <bottom style="thick">
        <color theme="1" tint="4.9989318521683403E-2"/>
      </bottom>
      <diagonal/>
    </border>
    <border>
      <left/>
      <right style="thick">
        <color theme="1" tint="4.9989318521683403E-2"/>
      </right>
      <top style="thick">
        <color theme="1" tint="4.9989318521683403E-2"/>
      </top>
      <bottom style="thick">
        <color theme="1" tint="4.9989318521683403E-2"/>
      </bottom>
      <diagonal/>
    </border>
    <border>
      <left/>
      <right/>
      <top style="thick">
        <color theme="1" tint="4.9989318521683403E-2"/>
      </top>
      <bottom/>
      <diagonal/>
    </border>
    <border>
      <left style="thick">
        <color theme="1" tint="4.9989318521683403E-2"/>
      </left>
      <right/>
      <top style="thick">
        <color theme="1" tint="4.9989318521683403E-2"/>
      </top>
      <bottom/>
      <diagonal/>
    </border>
    <border>
      <left/>
      <right style="thick">
        <color theme="1" tint="4.9989318521683403E-2"/>
      </right>
      <top style="thick">
        <color theme="1" tint="4.9989318521683403E-2"/>
      </top>
      <bottom/>
      <diagonal/>
    </border>
    <border>
      <left/>
      <right/>
      <top style="thick">
        <color theme="1"/>
      </top>
      <bottom style="thick">
        <color theme="1"/>
      </bottom>
      <diagonal/>
    </border>
    <border>
      <left style="thick">
        <color theme="1"/>
      </left>
      <right/>
      <top style="thick">
        <color theme="1"/>
      </top>
      <bottom style="thick">
        <color theme="1"/>
      </bottom>
      <diagonal/>
    </border>
    <border>
      <left/>
      <right style="thick">
        <color theme="1"/>
      </right>
      <top style="thick">
        <color theme="1"/>
      </top>
      <bottom style="thick">
        <color theme="1"/>
      </bottom>
      <diagonal/>
    </border>
    <border>
      <left style="thick">
        <color theme="1" tint="4.9989318521683403E-2"/>
      </left>
      <right style="thick">
        <color theme="1" tint="4.9989318521683403E-2"/>
      </right>
      <top style="thick">
        <color theme="1" tint="4.9989318521683403E-2"/>
      </top>
      <bottom/>
      <diagonal/>
    </border>
    <border>
      <left style="medium">
        <color theme="1"/>
      </left>
      <right/>
      <top style="thick">
        <color theme="1"/>
      </top>
      <bottom style="thick">
        <color theme="1"/>
      </bottom>
      <diagonal/>
    </border>
    <border>
      <left/>
      <right style="thick">
        <color theme="1"/>
      </right>
      <top style="thick">
        <color theme="1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ck">
        <color theme="1" tint="4.9989318521683403E-2"/>
      </left>
      <right/>
      <top/>
      <bottom/>
      <diagonal/>
    </border>
    <border>
      <left/>
      <right style="thick">
        <color theme="1" tint="4.9989318521683403E-2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thick">
        <color theme="1" tint="4.9989318521683403E-2"/>
      </top>
      <bottom/>
      <diagonal/>
    </border>
    <border>
      <left/>
      <right style="medium">
        <color indexed="64"/>
      </right>
      <top style="thick">
        <color theme="1" tint="4.9989318521683403E-2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thick">
        <color theme="1" tint="4.9989318521683403E-2"/>
      </bottom>
      <diagonal/>
    </border>
    <border>
      <left style="thick">
        <color theme="1" tint="4.9989318521683403E-2"/>
      </left>
      <right/>
      <top style="thick">
        <color theme="1" tint="4.9989318521683403E-2"/>
      </top>
      <bottom style="thick">
        <color indexed="64"/>
      </bottom>
      <diagonal/>
    </border>
    <border>
      <left/>
      <right/>
      <top style="thick">
        <color theme="1" tint="4.9989318521683403E-2"/>
      </top>
      <bottom style="thick">
        <color indexed="64"/>
      </bottom>
      <diagonal/>
    </border>
    <border>
      <left style="medium">
        <color indexed="64"/>
      </left>
      <right/>
      <top style="thick">
        <color indexed="64"/>
      </top>
      <bottom style="thick">
        <color indexed="64"/>
      </bottom>
      <diagonal/>
    </border>
    <border>
      <left/>
      <right/>
      <top style="thick">
        <color indexed="64"/>
      </top>
      <bottom style="thick">
        <color indexed="64"/>
      </bottom>
      <diagonal/>
    </border>
    <border>
      <left/>
      <right style="medium">
        <color indexed="64"/>
      </right>
      <top style="thick">
        <color indexed="64"/>
      </top>
      <bottom style="thick">
        <color indexed="64"/>
      </bottom>
      <diagonal/>
    </border>
    <border>
      <left style="thick">
        <color indexed="64"/>
      </left>
      <right/>
      <top/>
      <bottom/>
      <diagonal/>
    </border>
    <border>
      <left/>
      <right/>
      <top style="thick">
        <color theme="1" tint="4.9989318521683403E-2"/>
      </top>
      <bottom style="thick">
        <color theme="1" tint="4.9989318521683403E-2"/>
      </bottom>
      <diagonal/>
    </border>
    <border>
      <left style="thick">
        <color theme="1" tint="4.9989318521683403E-2"/>
      </left>
      <right/>
      <top style="thick">
        <color theme="1" tint="4.9989318521683403E-2"/>
      </top>
      <bottom style="medium">
        <color indexed="64"/>
      </bottom>
      <diagonal/>
    </border>
    <border>
      <left/>
      <right/>
      <top style="thick">
        <color theme="1" tint="4.9989318521683403E-2"/>
      </top>
      <bottom style="medium">
        <color indexed="64"/>
      </bottom>
      <diagonal/>
    </border>
    <border>
      <left/>
      <right style="thick">
        <color theme="1" tint="4.9989318521683403E-2"/>
      </right>
      <top style="thick">
        <color theme="1" tint="4.9989318521683403E-2"/>
      </top>
      <bottom style="medium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74">
    <xf numFmtId="0" fontId="0" fillId="0" borderId="0" xfId="0"/>
    <xf numFmtId="0" fontId="0" fillId="0" borderId="1" xfId="0" applyBorder="1"/>
    <xf numFmtId="0" fontId="1" fillId="0" borderId="0" xfId="0" applyFont="1"/>
    <xf numFmtId="0" fontId="0" fillId="0" borderId="13" xfId="0" applyBorder="1"/>
    <xf numFmtId="0" fontId="0" fillId="0" borderId="7" xfId="0" applyBorder="1" applyAlignment="1">
      <alignment horizontal="center"/>
    </xf>
    <xf numFmtId="0" fontId="3" fillId="0" borderId="0" xfId="0" applyFont="1"/>
    <xf numFmtId="0" fontId="0" fillId="0" borderId="32" xfId="0" applyBorder="1"/>
    <xf numFmtId="0" fontId="0" fillId="0" borderId="14" xfId="0" applyBorder="1" applyAlignment="1">
      <alignment horizontal="center"/>
    </xf>
    <xf numFmtId="0" fontId="0" fillId="0" borderId="15" xfId="0" applyBorder="1" applyAlignment="1">
      <alignment horizontal="center"/>
    </xf>
    <xf numFmtId="0" fontId="0" fillId="0" borderId="22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0" fontId="0" fillId="0" borderId="18" xfId="0" applyBorder="1" applyAlignment="1">
      <alignment horizontal="center"/>
    </xf>
    <xf numFmtId="0" fontId="0" fillId="0" borderId="19" xfId="0" applyBorder="1" applyAlignment="1">
      <alignment horizontal="center"/>
    </xf>
    <xf numFmtId="0" fontId="0" fillId="0" borderId="20" xfId="0" applyBorder="1" applyAlignment="1">
      <alignment horizontal="center"/>
    </xf>
    <xf numFmtId="0" fontId="0" fillId="0" borderId="21" xfId="0" applyBorder="1" applyAlignment="1">
      <alignment horizontal="center"/>
    </xf>
    <xf numFmtId="0" fontId="2" fillId="0" borderId="8" xfId="0" applyFont="1" applyBorder="1" applyAlignment="1">
      <alignment horizontal="center"/>
    </xf>
    <xf numFmtId="0" fontId="2" fillId="0" borderId="10" xfId="0" applyFont="1" applyBorder="1" applyAlignment="1">
      <alignment horizontal="center"/>
    </xf>
    <xf numFmtId="0" fontId="2" fillId="0" borderId="9" xfId="0" applyFont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12" xfId="0" applyBorder="1" applyAlignment="1">
      <alignment horizontal="center"/>
    </xf>
    <xf numFmtId="0" fontId="0" fillId="0" borderId="29" xfId="0" applyBorder="1" applyAlignment="1">
      <alignment horizontal="center"/>
    </xf>
    <xf numFmtId="0" fontId="0" fillId="0" borderId="30" xfId="0" applyBorder="1" applyAlignment="1">
      <alignment horizontal="center"/>
    </xf>
    <xf numFmtId="0" fontId="0" fillId="0" borderId="31" xfId="0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0" fillId="2" borderId="11" xfId="0" applyFill="1" applyBorder="1" applyAlignment="1">
      <alignment horizontal="center"/>
    </xf>
    <xf numFmtId="0" fontId="0" fillId="2" borderId="6" xfId="0" applyFill="1" applyBorder="1" applyAlignment="1">
      <alignment horizontal="center"/>
    </xf>
    <xf numFmtId="0" fontId="0" fillId="2" borderId="7" xfId="0" applyFill="1" applyBorder="1" applyAlignment="1">
      <alignment horizontal="center"/>
    </xf>
    <xf numFmtId="0" fontId="0" fillId="2" borderId="16" xfId="0" applyFill="1" applyBorder="1" applyAlignment="1">
      <alignment horizontal="center"/>
    </xf>
    <xf numFmtId="0" fontId="0" fillId="2" borderId="17" xfId="0" applyFill="1" applyBorder="1" applyAlignment="1">
      <alignment horizontal="center"/>
    </xf>
    <xf numFmtId="164" fontId="0" fillId="0" borderId="3" xfId="0" applyNumberFormat="1" applyBorder="1" applyAlignment="1">
      <alignment horizontal="center"/>
    </xf>
    <xf numFmtId="0" fontId="0" fillId="0" borderId="4" xfId="0" applyBorder="1" applyAlignment="1">
      <alignment horizontal="center"/>
    </xf>
    <xf numFmtId="0" fontId="0" fillId="5" borderId="6" xfId="0" applyFill="1" applyBorder="1" applyAlignment="1">
      <alignment horizontal="center"/>
    </xf>
    <xf numFmtId="0" fontId="0" fillId="5" borderId="5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11" xfId="0" applyFill="1" applyBorder="1" applyAlignment="1">
      <alignment horizontal="center"/>
    </xf>
    <xf numFmtId="0" fontId="0" fillId="5" borderId="27" xfId="0" applyFill="1" applyBorder="1" applyAlignment="1">
      <alignment horizontal="center"/>
    </xf>
    <xf numFmtId="0" fontId="0" fillId="5" borderId="28" xfId="0" applyFill="1" applyBorder="1" applyAlignment="1">
      <alignment horizontal="center"/>
    </xf>
    <xf numFmtId="164" fontId="0" fillId="0" borderId="4" xfId="0" applyNumberFormat="1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0" fillId="2" borderId="26" xfId="0" applyFill="1" applyBorder="1" applyAlignment="1">
      <alignment horizontal="center"/>
    </xf>
    <xf numFmtId="0" fontId="0" fillId="3" borderId="1" xfId="0" applyFill="1" applyBorder="1" applyAlignment="1">
      <alignment horizontal="center"/>
    </xf>
    <xf numFmtId="0" fontId="0" fillId="4" borderId="1" xfId="0" applyFill="1" applyBorder="1" applyAlignment="1">
      <alignment horizontal="center"/>
    </xf>
    <xf numFmtId="0" fontId="0" fillId="6" borderId="1" xfId="0" applyFill="1" applyBorder="1" applyAlignment="1">
      <alignment horizontal="center"/>
    </xf>
    <xf numFmtId="0" fontId="0" fillId="0" borderId="33" xfId="0" applyBorder="1" applyAlignment="1">
      <alignment horizontal="center"/>
    </xf>
    <xf numFmtId="0" fontId="0" fillId="5" borderId="34" xfId="0" applyFill="1" applyBorder="1" applyAlignment="1">
      <alignment horizontal="center"/>
    </xf>
    <xf numFmtId="0" fontId="0" fillId="5" borderId="35" xfId="0" applyFill="1" applyBorder="1" applyAlignment="1">
      <alignment horizontal="center"/>
    </xf>
    <xf numFmtId="0" fontId="0" fillId="5" borderId="36" xfId="0" applyFill="1" applyBorder="1" applyAlignment="1">
      <alignment horizontal="center"/>
    </xf>
    <xf numFmtId="0" fontId="0" fillId="0" borderId="3" xfId="0" applyBorder="1" applyAlignment="1">
      <alignment horizontal="center"/>
    </xf>
    <xf numFmtId="0" fontId="6" fillId="0" borderId="37" xfId="0" applyFont="1" applyBorder="1" applyAlignment="1">
      <alignment horizontal="left" vertical="center" wrapText="1" indent="1" readingOrder="1"/>
    </xf>
    <xf numFmtId="0" fontId="5" fillId="0" borderId="37" xfId="0" applyFont="1" applyBorder="1" applyAlignment="1">
      <alignment horizontal="left" vertical="center" wrapText="1" indent="1" readingOrder="1"/>
    </xf>
    <xf numFmtId="0" fontId="0" fillId="0" borderId="0" xfId="0" applyAlignment="1">
      <alignment horizontal="center"/>
    </xf>
    <xf numFmtId="0" fontId="6" fillId="0" borderId="38" xfId="0" applyFont="1" applyBorder="1" applyAlignment="1">
      <alignment horizontal="center" vertical="center" wrapText="1" readingOrder="1"/>
    </xf>
    <xf numFmtId="0" fontId="6" fillId="0" borderId="0" xfId="0" applyFont="1" applyBorder="1" applyAlignment="1">
      <alignment horizontal="center" vertical="center" wrapText="1" readingOrder="1"/>
    </xf>
    <xf numFmtId="0" fontId="0" fillId="0" borderId="0" xfId="0" applyAlignment="1">
      <alignment horizontal="center"/>
    </xf>
    <xf numFmtId="164" fontId="0" fillId="0" borderId="38" xfId="0" applyNumberFormat="1" applyBorder="1" applyAlignment="1">
      <alignment horizontal="center"/>
    </xf>
    <xf numFmtId="0" fontId="0" fillId="0" borderId="39" xfId="0" applyBorder="1" applyAlignment="1">
      <alignment horizontal="center"/>
    </xf>
    <xf numFmtId="0" fontId="0" fillId="0" borderId="0" xfId="0" applyBorder="1" applyAlignment="1">
      <alignment horizontal="center"/>
    </xf>
    <xf numFmtId="0" fontId="0" fillId="0" borderId="40" xfId="0" applyBorder="1" applyAlignment="1">
      <alignment horizontal="center"/>
    </xf>
    <xf numFmtId="164" fontId="0" fillId="0" borderId="0" xfId="0" applyNumberFormat="1" applyBorder="1" applyAlignment="1">
      <alignment horizontal="center"/>
    </xf>
    <xf numFmtId="0" fontId="0" fillId="0" borderId="32" xfId="0" applyBorder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41" xfId="0" applyBorder="1" applyAlignment="1">
      <alignment horizontal="center"/>
    </xf>
    <xf numFmtId="0" fontId="0" fillId="0" borderId="41" xfId="0" applyBorder="1"/>
    <xf numFmtId="0" fontId="0" fillId="0" borderId="0" xfId="0" applyBorder="1"/>
    <xf numFmtId="0" fontId="0" fillId="0" borderId="41" xfId="0" applyBorder="1" applyAlignment="1">
      <alignment horizontal="center"/>
    </xf>
    <xf numFmtId="0" fontId="0" fillId="0" borderId="0" xfId="0" applyBorder="1" applyAlignment="1">
      <alignment horizontal="center"/>
    </xf>
    <xf numFmtId="0" fontId="0" fillId="2" borderId="3" xfId="0" applyFill="1" applyBorder="1" applyAlignment="1">
      <alignment horizontal="center"/>
    </xf>
    <xf numFmtId="0" fontId="0" fillId="0" borderId="42" xfId="0" applyBorder="1"/>
    <xf numFmtId="164" fontId="0" fillId="0" borderId="42" xfId="0" applyNumberFormat="1" applyBorder="1" applyAlignment="1">
      <alignment horizontal="center"/>
    </xf>
    <xf numFmtId="164" fontId="0" fillId="0" borderId="42" xfId="0" applyNumberFormat="1" applyBorder="1"/>
    <xf numFmtId="0" fontId="0" fillId="0" borderId="42" xfId="0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435469</xdr:colOff>
      <xdr:row>19</xdr:row>
      <xdr:rowOff>180086</xdr:rowOff>
    </xdr:from>
    <xdr:to>
      <xdr:col>22</xdr:col>
      <xdr:colOff>443274</xdr:colOff>
      <xdr:row>30</xdr:row>
      <xdr:rowOff>48568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81B48D7D-FE8F-4DC5-A9E7-327C33B7F7A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1798794" y="3771011"/>
          <a:ext cx="6484805" cy="3364838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435469</xdr:colOff>
      <xdr:row>19</xdr:row>
      <xdr:rowOff>180086</xdr:rowOff>
    </xdr:from>
    <xdr:to>
      <xdr:col>22</xdr:col>
      <xdr:colOff>443274</xdr:colOff>
      <xdr:row>38</xdr:row>
      <xdr:rowOff>34961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8454BC52-6B7D-422B-8584-122092157B6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1798794" y="3771011"/>
          <a:ext cx="6484805" cy="3364838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13</xdr:col>
      <xdr:colOff>591334</xdr:colOff>
      <xdr:row>19</xdr:row>
      <xdr:rowOff>6904</xdr:rowOff>
    </xdr:from>
    <xdr:to>
      <xdr:col>20</xdr:col>
      <xdr:colOff>467592</xdr:colOff>
      <xdr:row>31</xdr:row>
      <xdr:rowOff>12231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FE3603B9-6040-1D5B-74C8-5A5D7932855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1813516" y="3920813"/>
          <a:ext cx="4119212" cy="249914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947412-A94C-42D6-9945-CA2F00E0A187}">
  <dimension ref="B3:BM33"/>
  <sheetViews>
    <sheetView tabSelected="1" topLeftCell="J21" zoomScale="70" zoomScaleNormal="70" workbookViewId="0">
      <selection activeCell="AJ41" sqref="AJ41"/>
    </sheetView>
  </sheetViews>
  <sheetFormatPr defaultRowHeight="15" x14ac:dyDescent="0.25"/>
  <cols>
    <col min="6" max="6" width="9" customWidth="1"/>
    <col min="7" max="7" width="19" customWidth="1"/>
    <col min="8" max="8" width="17.28515625" customWidth="1"/>
    <col min="10" max="10" width="41" customWidth="1"/>
    <col min="34" max="34" width="19" customWidth="1"/>
    <col min="51" max="51" width="47.85546875" customWidth="1"/>
    <col min="52" max="52" width="36.28515625" customWidth="1"/>
    <col min="53" max="53" width="36" customWidth="1"/>
    <col min="54" max="54" width="37" customWidth="1"/>
    <col min="55" max="55" width="36.42578125" customWidth="1"/>
    <col min="56" max="56" width="39.5703125" customWidth="1"/>
    <col min="57" max="57" width="40.5703125" customWidth="1"/>
    <col min="58" max="58" width="38.140625" customWidth="1"/>
    <col min="59" max="59" width="41.28515625" customWidth="1"/>
    <col min="60" max="60" width="45.5703125" customWidth="1"/>
    <col min="61" max="61" width="42.7109375" customWidth="1"/>
    <col min="62" max="62" width="41" customWidth="1"/>
    <col min="63" max="63" width="44.28515625" customWidth="1"/>
    <col min="64" max="64" width="47" customWidth="1"/>
    <col min="65" max="65" width="42" customWidth="1"/>
  </cols>
  <sheetData>
    <row r="3" spans="2:65" ht="15.75" thickBot="1" x14ac:dyDescent="0.3">
      <c r="AA3" s="42" t="s">
        <v>26</v>
      </c>
      <c r="AB3" s="42"/>
      <c r="AC3" s="42"/>
      <c r="AD3" s="42"/>
      <c r="AE3" s="42"/>
      <c r="AF3" s="42"/>
      <c r="AG3" s="42"/>
      <c r="AH3" s="42"/>
      <c r="AI3" s="42"/>
      <c r="AJ3" s="42"/>
      <c r="AK3" s="42"/>
      <c r="AL3" s="42"/>
      <c r="AM3" s="42" t="s">
        <v>27</v>
      </c>
      <c r="AN3" s="42"/>
      <c r="AO3" s="42"/>
      <c r="AP3" s="42"/>
      <c r="AQ3" s="42"/>
      <c r="AR3" s="42"/>
      <c r="AS3" s="42"/>
      <c r="AT3" s="42"/>
      <c r="AU3" s="42"/>
      <c r="AV3" s="42"/>
      <c r="AW3" s="42"/>
      <c r="AX3" s="42"/>
      <c r="BB3" s="56" t="s">
        <v>50</v>
      </c>
      <c r="BC3" s="56"/>
      <c r="BD3" s="56"/>
      <c r="BE3" s="56"/>
      <c r="BF3" s="56" t="s">
        <v>46</v>
      </c>
      <c r="BG3" s="56"/>
      <c r="BH3" s="56"/>
      <c r="BI3" s="56"/>
      <c r="BJ3" s="56" t="s">
        <v>47</v>
      </c>
      <c r="BK3" s="56"/>
      <c r="BL3" s="56"/>
      <c r="BM3" s="56"/>
    </row>
    <row r="4" spans="2:65" ht="16.5" thickTop="1" thickBot="1" x14ac:dyDescent="0.3">
      <c r="G4" s="43" t="s">
        <v>1</v>
      </c>
      <c r="H4" s="43"/>
      <c r="I4" s="43"/>
      <c r="J4" s="43"/>
      <c r="K4" s="43" t="s">
        <v>2</v>
      </c>
      <c r="L4" s="43"/>
      <c r="M4" s="43"/>
      <c r="N4" s="43"/>
      <c r="O4" s="44" t="s">
        <v>17</v>
      </c>
      <c r="P4" s="44"/>
      <c r="Q4" s="44"/>
      <c r="R4" s="44"/>
      <c r="S4" s="44" t="s">
        <v>18</v>
      </c>
      <c r="T4" s="44"/>
      <c r="U4" s="44"/>
      <c r="V4" s="44"/>
      <c r="W4" s="44" t="s">
        <v>19</v>
      </c>
      <c r="X4" s="44"/>
      <c r="Y4" s="44"/>
      <c r="Z4" s="44"/>
      <c r="AA4" s="45" t="s">
        <v>23</v>
      </c>
      <c r="AB4" s="45"/>
      <c r="AC4" s="45"/>
      <c r="AD4" s="45"/>
      <c r="AE4" s="45" t="s">
        <v>24</v>
      </c>
      <c r="AF4" s="45"/>
      <c r="AG4" s="45"/>
      <c r="AH4" s="45"/>
      <c r="AI4" s="45" t="s">
        <v>25</v>
      </c>
      <c r="AJ4" s="45"/>
      <c r="AK4" s="45"/>
      <c r="AL4" s="45"/>
      <c r="AM4" s="45" t="s">
        <v>23</v>
      </c>
      <c r="AN4" s="45"/>
      <c r="AO4" s="45"/>
      <c r="AP4" s="45"/>
      <c r="AQ4" s="45" t="s">
        <v>24</v>
      </c>
      <c r="AR4" s="45"/>
      <c r="AS4" s="45"/>
      <c r="AT4" s="45"/>
      <c r="AU4" s="45" t="s">
        <v>25</v>
      </c>
      <c r="AV4" s="45"/>
      <c r="AW4" s="45"/>
      <c r="AX4" s="45"/>
    </row>
    <row r="5" spans="2:65" ht="16.5" thickTop="1" thickBot="1" x14ac:dyDescent="0.3">
      <c r="G5" s="43"/>
      <c r="H5" s="43"/>
      <c r="I5" s="43"/>
      <c r="J5" s="43"/>
      <c r="K5" s="43"/>
      <c r="L5" s="43"/>
      <c r="M5" s="43"/>
      <c r="N5" s="43"/>
      <c r="O5" s="44"/>
      <c r="P5" s="44"/>
      <c r="Q5" s="44"/>
      <c r="R5" s="44"/>
      <c r="S5" s="44"/>
      <c r="T5" s="44"/>
      <c r="U5" s="44"/>
      <c r="V5" s="44"/>
      <c r="W5" s="44"/>
      <c r="X5" s="44"/>
      <c r="Y5" s="44"/>
      <c r="Z5" s="44"/>
      <c r="AA5" s="45"/>
      <c r="AB5" s="45"/>
      <c r="AC5" s="45"/>
      <c r="AD5" s="45"/>
      <c r="AE5" s="45"/>
      <c r="AF5" s="45"/>
      <c r="AG5" s="45"/>
      <c r="AH5" s="45"/>
      <c r="AI5" s="45"/>
      <c r="AJ5" s="45"/>
      <c r="AK5" s="45"/>
      <c r="AL5" s="45"/>
      <c r="AM5" s="45"/>
      <c r="AN5" s="45"/>
      <c r="AO5" s="45"/>
      <c r="AP5" s="45"/>
      <c r="AQ5" s="45"/>
      <c r="AR5" s="45"/>
      <c r="AS5" s="45"/>
      <c r="AT5" s="45"/>
      <c r="AU5" s="45"/>
      <c r="AV5" s="45"/>
      <c r="AW5" s="45"/>
      <c r="AX5" s="45"/>
    </row>
    <row r="6" spans="2:65" ht="16.5" thickTop="1" thickBot="1" x14ac:dyDescent="0.3">
      <c r="D6" s="26" t="s">
        <v>0</v>
      </c>
      <c r="E6" s="26"/>
      <c r="F6" s="26"/>
      <c r="G6" s="41" t="s">
        <v>4</v>
      </c>
      <c r="H6" s="41"/>
      <c r="I6" s="26" t="s">
        <v>5</v>
      </c>
      <c r="J6" s="26"/>
      <c r="K6" s="41" t="s">
        <v>4</v>
      </c>
      <c r="L6" s="41"/>
      <c r="M6" s="26" t="s">
        <v>5</v>
      </c>
      <c r="N6" s="26"/>
      <c r="O6" s="41" t="s">
        <v>4</v>
      </c>
      <c r="P6" s="41"/>
      <c r="Q6" s="26" t="s">
        <v>5</v>
      </c>
      <c r="R6" s="26"/>
      <c r="S6" s="41" t="s">
        <v>4</v>
      </c>
      <c r="T6" s="41"/>
      <c r="U6" s="26" t="s">
        <v>5</v>
      </c>
      <c r="V6" s="26"/>
      <c r="W6" s="41" t="s">
        <v>4</v>
      </c>
      <c r="X6" s="41"/>
      <c r="Y6" s="26" t="s">
        <v>5</v>
      </c>
      <c r="Z6" s="26"/>
      <c r="AA6" s="41" t="s">
        <v>4</v>
      </c>
      <c r="AB6" s="41"/>
      <c r="AC6" s="26" t="s">
        <v>5</v>
      </c>
      <c r="AD6" s="26"/>
      <c r="AE6" s="41" t="s">
        <v>4</v>
      </c>
      <c r="AF6" s="41"/>
      <c r="AG6" s="26" t="s">
        <v>5</v>
      </c>
      <c r="AH6" s="26"/>
      <c r="AI6" s="41" t="s">
        <v>4</v>
      </c>
      <c r="AJ6" s="41"/>
      <c r="AK6" s="26" t="s">
        <v>5</v>
      </c>
      <c r="AL6" s="26"/>
      <c r="AM6" s="41" t="s">
        <v>4</v>
      </c>
      <c r="AN6" s="41"/>
      <c r="AO6" s="26" t="s">
        <v>5</v>
      </c>
      <c r="AP6" s="26"/>
      <c r="AQ6" s="41" t="s">
        <v>4</v>
      </c>
      <c r="AR6" s="41"/>
      <c r="AS6" s="26" t="s">
        <v>5</v>
      </c>
      <c r="AT6" s="26"/>
      <c r="AU6" s="41" t="s">
        <v>4</v>
      </c>
      <c r="AV6" s="41"/>
      <c r="AW6" s="26" t="s">
        <v>5</v>
      </c>
      <c r="AX6" s="26"/>
    </row>
    <row r="7" spans="2:65" ht="16.5" thickTop="1" thickBot="1" x14ac:dyDescent="0.3">
      <c r="D7" s="26"/>
      <c r="E7" s="26"/>
      <c r="F7" s="26"/>
      <c r="G7" s="26"/>
      <c r="H7" s="26"/>
      <c r="I7" s="26"/>
      <c r="J7" s="26"/>
      <c r="K7" s="26"/>
      <c r="L7" s="26"/>
      <c r="M7" s="26"/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  <c r="AQ7" s="26"/>
      <c r="AR7" s="26"/>
      <c r="AS7" s="26"/>
      <c r="AT7" s="26"/>
      <c r="AU7" s="26"/>
      <c r="AV7" s="26"/>
      <c r="AW7" s="26"/>
      <c r="AX7" s="69"/>
      <c r="AY7" s="70" t="s">
        <v>42</v>
      </c>
      <c r="AZ7" s="70" t="s">
        <v>43</v>
      </c>
      <c r="BA7" s="70" t="s">
        <v>44</v>
      </c>
      <c r="BB7" s="70" t="s">
        <v>45</v>
      </c>
      <c r="BC7" s="70" t="s">
        <v>42</v>
      </c>
      <c r="BD7" s="70" t="s">
        <v>43</v>
      </c>
      <c r="BE7" s="70" t="s">
        <v>44</v>
      </c>
      <c r="BF7" s="70" t="s">
        <v>45</v>
      </c>
      <c r="BG7" s="70" t="s">
        <v>42</v>
      </c>
      <c r="BH7" s="70" t="s">
        <v>43</v>
      </c>
      <c r="BI7" s="70" t="s">
        <v>44</v>
      </c>
      <c r="BJ7" s="70" t="s">
        <v>45</v>
      </c>
    </row>
    <row r="8" spans="2:65" ht="16.5" thickTop="1" thickBot="1" x14ac:dyDescent="0.3">
      <c r="D8" s="26" t="s">
        <v>11</v>
      </c>
      <c r="E8" s="26"/>
      <c r="F8" s="1">
        <v>145.83000000000001</v>
      </c>
      <c r="G8" s="32">
        <f>32.45+20*LOG10(800)+20*LOG10(F8/1000)</f>
        <v>73.788737255722964</v>
      </c>
      <c r="H8" s="40"/>
      <c r="I8" s="32">
        <f>10*$D$24*LOG10(F8)+$D$26+10*$D$28*LOG10(3.4) +$D$30</f>
        <v>88.737994773771447</v>
      </c>
      <c r="J8" s="40"/>
      <c r="K8" s="32">
        <f>G8</f>
        <v>73.788737255722964</v>
      </c>
      <c r="L8" s="40"/>
      <c r="M8" s="32">
        <f>I8</f>
        <v>88.737994773771447</v>
      </c>
      <c r="N8" s="40"/>
      <c r="O8" s="32">
        <f>24-K8</f>
        <v>-49.788737255722964</v>
      </c>
      <c r="P8" s="33"/>
      <c r="Q8" s="32">
        <f>24-M8</f>
        <v>-64.737994773771447</v>
      </c>
      <c r="R8" s="33"/>
      <c r="S8" s="32">
        <f>33-K8</f>
        <v>-40.788737255722964</v>
      </c>
      <c r="T8" s="33"/>
      <c r="U8" s="32">
        <f>33-M8</f>
        <v>-55.737994773771447</v>
      </c>
      <c r="V8" s="33"/>
      <c r="W8" s="32">
        <f>43-K8</f>
        <v>-30.788737255722964</v>
      </c>
      <c r="X8" s="33"/>
      <c r="Y8" s="32">
        <f>43-M8</f>
        <v>-45.737994773771447</v>
      </c>
      <c r="Z8" s="33"/>
      <c r="AA8" s="32">
        <f>O8+95</f>
        <v>45.211262744277036</v>
      </c>
      <c r="AB8" s="33"/>
      <c r="AC8" s="32">
        <f>Q8+95</f>
        <v>30.262005226228553</v>
      </c>
      <c r="AD8" s="33"/>
      <c r="AE8" s="32">
        <f>S8+95</f>
        <v>54.211262744277036</v>
      </c>
      <c r="AF8" s="33"/>
      <c r="AG8" s="32">
        <f>U8+95</f>
        <v>39.262005226228553</v>
      </c>
      <c r="AH8" s="33"/>
      <c r="AI8" s="32">
        <f>W8+95</f>
        <v>64.211262744277036</v>
      </c>
      <c r="AJ8" s="33"/>
      <c r="AK8" s="32">
        <f>Y8+95</f>
        <v>49.262005226228553</v>
      </c>
      <c r="AL8" s="33"/>
      <c r="AM8" s="32">
        <f>O8+105</f>
        <v>55.211262744277036</v>
      </c>
      <c r="AN8" s="33"/>
      <c r="AO8" s="32">
        <f>Q8+105</f>
        <v>40.262005226228553</v>
      </c>
      <c r="AP8" s="33"/>
      <c r="AQ8" s="32">
        <f>S8+105</f>
        <v>64.211262744277036</v>
      </c>
      <c r="AR8" s="33"/>
      <c r="AS8" s="32">
        <f>U8+105</f>
        <v>49.262005226228553</v>
      </c>
      <c r="AT8" s="33"/>
      <c r="AU8" s="32">
        <f>W8+105</f>
        <v>74.211262744277036</v>
      </c>
      <c r="AV8" s="33"/>
      <c r="AW8" s="32">
        <f>Y8+105</f>
        <v>59.262005226228553</v>
      </c>
      <c r="AX8" s="46"/>
      <c r="AY8" s="71">
        <f>O8-20</f>
        <v>-69.788737255722964</v>
      </c>
      <c r="AZ8" s="72">
        <f>Q8-20</f>
        <v>-84.737994773771447</v>
      </c>
      <c r="BA8" s="71">
        <f>O8-30.4</f>
        <v>-80.18873725572297</v>
      </c>
      <c r="BB8" s="72">
        <f>Q8-30.4</f>
        <v>-95.137994773771453</v>
      </c>
      <c r="BC8" s="72">
        <f>S8-20</f>
        <v>-60.788737255722964</v>
      </c>
      <c r="BD8" s="72">
        <f>U8-20</f>
        <v>-75.737994773771447</v>
      </c>
      <c r="BE8" s="72">
        <f>S8-30.4</f>
        <v>-71.18873725572297</v>
      </c>
      <c r="BF8" s="72">
        <f>U8-30.4</f>
        <v>-86.137994773771453</v>
      </c>
      <c r="BG8" s="72">
        <f>W8-20</f>
        <v>-50.788737255722964</v>
      </c>
      <c r="BH8" s="72">
        <f>Y8-20</f>
        <v>-65.737994773771447</v>
      </c>
      <c r="BI8" s="72">
        <f>W8-30.4</f>
        <v>-61.188737255722963</v>
      </c>
      <c r="BJ8" s="72">
        <f>Y8-30.4</f>
        <v>-76.137994773771453</v>
      </c>
    </row>
    <row r="9" spans="2:65" ht="16.5" thickTop="1" thickBot="1" x14ac:dyDescent="0.3">
      <c r="D9" s="26"/>
      <c r="E9" s="26"/>
      <c r="F9" s="1">
        <v>183.17</v>
      </c>
      <c r="G9" s="32">
        <f t="shared" ref="G9:G16" si="0">32.45+20*LOG10(800)+20*LOG10(F9/1000)</f>
        <v>75.768886648162749</v>
      </c>
      <c r="H9" s="40"/>
      <c r="I9" s="32">
        <f>10*$D$24*LOG10(F9)+$D$26+10*$D$28*LOG10(3.4) +$D$30</f>
        <v>90.718144166211232</v>
      </c>
      <c r="J9" s="40"/>
      <c r="K9" s="32">
        <f>G9</f>
        <v>75.768886648162749</v>
      </c>
      <c r="L9" s="40"/>
      <c r="M9" s="32">
        <f t="shared" ref="M9:M16" si="1">I9</f>
        <v>90.718144166211232</v>
      </c>
      <c r="N9" s="40"/>
      <c r="O9" s="32">
        <f t="shared" ref="O9:O16" si="2">24-K9</f>
        <v>-51.768886648162749</v>
      </c>
      <c r="P9" s="33"/>
      <c r="Q9" s="32">
        <f t="shared" ref="Q9:Q16" si="3">24-M9</f>
        <v>-66.718144166211232</v>
      </c>
      <c r="R9" s="33"/>
      <c r="S9" s="32">
        <f t="shared" ref="S9:S16" si="4">33-K9</f>
        <v>-42.768886648162749</v>
      </c>
      <c r="T9" s="33"/>
      <c r="U9" s="32">
        <f t="shared" ref="U9:U16" si="5">33-M9</f>
        <v>-57.718144166211232</v>
      </c>
      <c r="V9" s="33"/>
      <c r="W9" s="32">
        <f t="shared" ref="W9:W16" si="6">43-K9</f>
        <v>-32.768886648162749</v>
      </c>
      <c r="X9" s="33"/>
      <c r="Y9" s="32">
        <f t="shared" ref="Y9:Y16" si="7">43-M9</f>
        <v>-47.718144166211232</v>
      </c>
      <c r="Z9" s="33"/>
      <c r="AA9" s="32">
        <f t="shared" ref="AA9:AA16" si="8">O9+95</f>
        <v>43.231113351837251</v>
      </c>
      <c r="AB9" s="33"/>
      <c r="AC9" s="32">
        <f t="shared" ref="AC9:AC16" si="9">Q9+95</f>
        <v>28.281855833788768</v>
      </c>
      <c r="AD9" s="33"/>
      <c r="AE9" s="32">
        <f>S9+95</f>
        <v>52.231113351837251</v>
      </c>
      <c r="AF9" s="33"/>
      <c r="AG9" s="32">
        <f t="shared" ref="AG9:AG16" si="10">U9+95</f>
        <v>37.281855833788768</v>
      </c>
      <c r="AH9" s="33"/>
      <c r="AI9" s="32">
        <f t="shared" ref="AI9:AI16" si="11">W9+95</f>
        <v>62.231113351837251</v>
      </c>
      <c r="AJ9" s="33"/>
      <c r="AK9" s="32">
        <f t="shared" ref="AK9:AK16" si="12">Y9+95</f>
        <v>47.281855833788768</v>
      </c>
      <c r="AL9" s="33"/>
      <c r="AM9" s="32">
        <f t="shared" ref="AM9:AM16" si="13">O9+105</f>
        <v>53.231113351837251</v>
      </c>
      <c r="AN9" s="33"/>
      <c r="AO9" s="32">
        <f t="shared" ref="AO9:AO16" si="14">Q9+105</f>
        <v>38.281855833788768</v>
      </c>
      <c r="AP9" s="33"/>
      <c r="AQ9" s="32">
        <f t="shared" ref="AQ9:AQ16" si="15">S9+105</f>
        <v>62.231113351837251</v>
      </c>
      <c r="AR9" s="33"/>
      <c r="AS9" s="32">
        <f t="shared" ref="AS9:AS16" si="16">U9+105</f>
        <v>47.281855833788768</v>
      </c>
      <c r="AT9" s="33"/>
      <c r="AU9" s="32">
        <f t="shared" ref="AU9:AU16" si="17">W9+105</f>
        <v>72.231113351837251</v>
      </c>
      <c r="AV9" s="33"/>
      <c r="AW9" s="32">
        <f t="shared" ref="AW9:AW16" si="18">Y9+105</f>
        <v>57.281855833788768</v>
      </c>
      <c r="AX9" s="46"/>
      <c r="AY9" s="71">
        <f>O9-20</f>
        <v>-71.768886648162749</v>
      </c>
      <c r="AZ9" s="72">
        <f>Q9-20</f>
        <v>-86.718144166211232</v>
      </c>
      <c r="BA9" s="71">
        <f>O9-30.4</f>
        <v>-82.168886648162754</v>
      </c>
      <c r="BB9" s="72">
        <f>Q9-30.4</f>
        <v>-97.118144166211238</v>
      </c>
      <c r="BC9" s="72">
        <f>S9-20</f>
        <v>-62.768886648162749</v>
      </c>
      <c r="BD9" s="72">
        <f>U9-20</f>
        <v>-77.718144166211232</v>
      </c>
      <c r="BE9" s="72">
        <f>S9-30.4</f>
        <v>-73.168886648162754</v>
      </c>
      <c r="BF9" s="72">
        <f>U9-30.4</f>
        <v>-88.118144166211238</v>
      </c>
      <c r="BG9" s="72">
        <f>W9-20</f>
        <v>-52.768886648162749</v>
      </c>
      <c r="BH9" s="72">
        <f>Y9-20</f>
        <v>-67.718144166211232</v>
      </c>
      <c r="BI9" s="72">
        <f>W9-30.4</f>
        <v>-63.168886648162747</v>
      </c>
      <c r="BJ9" s="72">
        <f>Y9-30.4</f>
        <v>-78.118144166211238</v>
      </c>
    </row>
    <row r="10" spans="2:65" ht="16.5" thickTop="1" thickBot="1" x14ac:dyDescent="0.3">
      <c r="D10" s="26"/>
      <c r="E10" s="26"/>
      <c r="F10" s="1">
        <v>243.1</v>
      </c>
      <c r="G10" s="32">
        <f t="shared" si="0"/>
        <v>78.227498916705599</v>
      </c>
      <c r="H10" s="40"/>
      <c r="I10" s="32">
        <f>10*$D$24*LOG10(F10)+$D$26+10*$D$28*LOG10(3.4) +$D$30</f>
        <v>93.176756434754083</v>
      </c>
      <c r="J10" s="40"/>
      <c r="K10" s="32">
        <f>G10</f>
        <v>78.227498916705599</v>
      </c>
      <c r="L10" s="40"/>
      <c r="M10" s="32">
        <f t="shared" si="1"/>
        <v>93.176756434754083</v>
      </c>
      <c r="N10" s="40"/>
      <c r="O10" s="32">
        <f t="shared" si="2"/>
        <v>-54.227498916705599</v>
      </c>
      <c r="P10" s="33"/>
      <c r="Q10" s="32">
        <f t="shared" si="3"/>
        <v>-69.176756434754083</v>
      </c>
      <c r="R10" s="33"/>
      <c r="S10" s="32">
        <f t="shared" si="4"/>
        <v>-45.227498916705599</v>
      </c>
      <c r="T10" s="33"/>
      <c r="U10" s="32">
        <f t="shared" si="5"/>
        <v>-60.176756434754083</v>
      </c>
      <c r="V10" s="33"/>
      <c r="W10" s="32">
        <f t="shared" si="6"/>
        <v>-35.227498916705599</v>
      </c>
      <c r="X10" s="33"/>
      <c r="Y10" s="32">
        <f t="shared" si="7"/>
        <v>-50.176756434754083</v>
      </c>
      <c r="Z10" s="33"/>
      <c r="AA10" s="32">
        <f t="shared" si="8"/>
        <v>40.772501083294401</v>
      </c>
      <c r="AB10" s="33"/>
      <c r="AC10" s="32">
        <f t="shared" si="9"/>
        <v>25.823243565245917</v>
      </c>
      <c r="AD10" s="33"/>
      <c r="AE10" s="32">
        <f t="shared" ref="AE10:AE16" si="19">S10+95</f>
        <v>49.772501083294401</v>
      </c>
      <c r="AF10" s="33"/>
      <c r="AG10" s="32">
        <f t="shared" si="10"/>
        <v>34.823243565245917</v>
      </c>
      <c r="AH10" s="33"/>
      <c r="AI10" s="32">
        <f t="shared" si="11"/>
        <v>59.772501083294401</v>
      </c>
      <c r="AJ10" s="33"/>
      <c r="AK10" s="32">
        <f t="shared" si="12"/>
        <v>44.823243565245917</v>
      </c>
      <c r="AL10" s="33"/>
      <c r="AM10" s="32">
        <f t="shared" si="13"/>
        <v>50.772501083294401</v>
      </c>
      <c r="AN10" s="33"/>
      <c r="AO10" s="32">
        <f t="shared" si="14"/>
        <v>35.823243565245917</v>
      </c>
      <c r="AP10" s="33"/>
      <c r="AQ10" s="32">
        <f t="shared" si="15"/>
        <v>59.772501083294401</v>
      </c>
      <c r="AR10" s="33"/>
      <c r="AS10" s="32">
        <f t="shared" si="16"/>
        <v>44.823243565245917</v>
      </c>
      <c r="AT10" s="33"/>
      <c r="AU10" s="32">
        <f t="shared" si="17"/>
        <v>69.772501083294401</v>
      </c>
      <c r="AV10" s="33"/>
      <c r="AW10" s="32">
        <f t="shared" si="18"/>
        <v>54.823243565245917</v>
      </c>
      <c r="AX10" s="46"/>
      <c r="AY10" s="71">
        <f>O10-20</f>
        <v>-74.227498916705599</v>
      </c>
      <c r="AZ10" s="72">
        <f>Q10-20</f>
        <v>-89.176756434754083</v>
      </c>
      <c r="BA10" s="71">
        <f>O10-30.4</f>
        <v>-84.627498916705605</v>
      </c>
      <c r="BB10" s="72">
        <f>Q10-30.4</f>
        <v>-99.576756434754088</v>
      </c>
      <c r="BC10" s="72">
        <f>S10-20</f>
        <v>-65.227498916705599</v>
      </c>
      <c r="BD10" s="72">
        <f>U10-20</f>
        <v>-80.176756434754083</v>
      </c>
      <c r="BE10" s="72">
        <f>S10-30.4</f>
        <v>-75.627498916705605</v>
      </c>
      <c r="BF10" s="72">
        <f>U10-30.4</f>
        <v>-90.576756434754088</v>
      </c>
      <c r="BG10" s="72">
        <f>W10-20</f>
        <v>-55.227498916705599</v>
      </c>
      <c r="BH10" s="72">
        <f>Y10-20</f>
        <v>-70.176756434754083</v>
      </c>
      <c r="BI10" s="72">
        <f>W10-30.4</f>
        <v>-65.627498916705605</v>
      </c>
      <c r="BJ10" s="72">
        <f>Y10-30.4</f>
        <v>-80.576756434754088</v>
      </c>
    </row>
    <row r="11" spans="2:65" ht="16.5" thickTop="1" thickBot="1" x14ac:dyDescent="0.3">
      <c r="D11" s="26" t="s">
        <v>10</v>
      </c>
      <c r="E11" s="26"/>
      <c r="F11" s="1">
        <v>302.69</v>
      </c>
      <c r="G11" s="32">
        <f t="shared" si="0"/>
        <v>80.131761207100013</v>
      </c>
      <c r="H11" s="40"/>
      <c r="I11" s="32">
        <f>10*$G$24*LOG10(F8)+$G$26+10*$G$28*LOG10(3.4)+ $G$30</f>
        <v>88.311727614209588</v>
      </c>
      <c r="J11" s="40"/>
      <c r="K11" s="32">
        <f>G11+6</f>
        <v>86.131761207100013</v>
      </c>
      <c r="L11" s="40"/>
      <c r="M11" s="32">
        <f t="shared" si="1"/>
        <v>88.311727614209588</v>
      </c>
      <c r="N11" s="40"/>
      <c r="O11" s="32">
        <f t="shared" si="2"/>
        <v>-62.131761207100013</v>
      </c>
      <c r="P11" s="33"/>
      <c r="Q11" s="32">
        <f t="shared" si="3"/>
        <v>-64.311727614209588</v>
      </c>
      <c r="R11" s="33"/>
      <c r="S11" s="32">
        <f t="shared" si="4"/>
        <v>-53.131761207100013</v>
      </c>
      <c r="T11" s="33"/>
      <c r="U11" s="32">
        <f t="shared" si="5"/>
        <v>-55.311727614209588</v>
      </c>
      <c r="V11" s="33"/>
      <c r="W11" s="32">
        <f t="shared" si="6"/>
        <v>-43.131761207100013</v>
      </c>
      <c r="X11" s="33"/>
      <c r="Y11" s="32">
        <f t="shared" si="7"/>
        <v>-45.311727614209588</v>
      </c>
      <c r="Z11" s="33"/>
      <c r="AA11" s="32">
        <f t="shared" si="8"/>
        <v>32.868238792899987</v>
      </c>
      <c r="AB11" s="33"/>
      <c r="AC11" s="32">
        <f t="shared" si="9"/>
        <v>30.688272385790412</v>
      </c>
      <c r="AD11" s="33"/>
      <c r="AE11" s="32">
        <f t="shared" si="19"/>
        <v>41.868238792899987</v>
      </c>
      <c r="AF11" s="33"/>
      <c r="AG11" s="32">
        <f t="shared" si="10"/>
        <v>39.688272385790412</v>
      </c>
      <c r="AH11" s="33"/>
      <c r="AI11" s="32">
        <f t="shared" si="11"/>
        <v>51.868238792899987</v>
      </c>
      <c r="AJ11" s="33"/>
      <c r="AK11" s="32">
        <f t="shared" si="12"/>
        <v>49.688272385790412</v>
      </c>
      <c r="AL11" s="33"/>
      <c r="AM11" s="32">
        <f t="shared" si="13"/>
        <v>42.868238792899987</v>
      </c>
      <c r="AN11" s="33"/>
      <c r="AO11" s="32">
        <f t="shared" si="14"/>
        <v>40.688272385790412</v>
      </c>
      <c r="AP11" s="33"/>
      <c r="AQ11" s="32">
        <f t="shared" si="15"/>
        <v>51.868238792899987</v>
      </c>
      <c r="AR11" s="33"/>
      <c r="AS11" s="32">
        <f t="shared" si="16"/>
        <v>49.688272385790412</v>
      </c>
      <c r="AT11" s="33"/>
      <c r="AU11" s="32">
        <f t="shared" si="17"/>
        <v>61.868238792899987</v>
      </c>
      <c r="AV11" s="33"/>
      <c r="AW11" s="32">
        <f t="shared" si="18"/>
        <v>59.688272385790412</v>
      </c>
      <c r="AX11" s="46"/>
      <c r="AY11" s="71">
        <f>O11-20</f>
        <v>-82.131761207100013</v>
      </c>
      <c r="AZ11" s="72">
        <f>Q11-20</f>
        <v>-84.311727614209588</v>
      </c>
      <c r="BA11" s="71">
        <f>O11-30.4</f>
        <v>-92.531761207100004</v>
      </c>
      <c r="BB11" s="72">
        <f>Q11-30.4</f>
        <v>-94.711727614209593</v>
      </c>
      <c r="BC11" s="72">
        <f>S11-20</f>
        <v>-73.131761207100013</v>
      </c>
      <c r="BD11" s="72">
        <f>U11-20</f>
        <v>-75.311727614209588</v>
      </c>
      <c r="BE11" s="72">
        <f>S11-30.4</f>
        <v>-83.531761207100004</v>
      </c>
      <c r="BF11" s="72">
        <f>U11-30.4</f>
        <v>-85.711727614209593</v>
      </c>
      <c r="BG11" s="72">
        <f>W11-20</f>
        <v>-63.131761207100013</v>
      </c>
      <c r="BH11" s="72">
        <f>Y11-20</f>
        <v>-65.311727614209588</v>
      </c>
      <c r="BI11" s="72">
        <f>W11-30.4</f>
        <v>-73.531761207100004</v>
      </c>
      <c r="BJ11" s="72">
        <f>Y11-30.4</f>
        <v>-75.711727614209593</v>
      </c>
    </row>
    <row r="12" spans="2:65" ht="16.5" thickTop="1" thickBot="1" x14ac:dyDescent="0.3">
      <c r="B12" s="5"/>
      <c r="D12" s="26"/>
      <c r="E12" s="26"/>
      <c r="F12" s="1">
        <v>311.83</v>
      </c>
      <c r="G12" s="32">
        <f t="shared" si="0"/>
        <v>80.390157634105677</v>
      </c>
      <c r="H12" s="40"/>
      <c r="I12" s="32">
        <f>10*$G$24*LOG10(F9)+$G$26+10*$G$28*LOG10(3.4)+ $G$30</f>
        <v>91.083936763625275</v>
      </c>
      <c r="J12" s="40"/>
      <c r="K12" s="32">
        <f>G12+6</f>
        <v>86.390157634105677</v>
      </c>
      <c r="L12" s="40"/>
      <c r="M12" s="32">
        <f t="shared" si="1"/>
        <v>91.083936763625275</v>
      </c>
      <c r="N12" s="40"/>
      <c r="O12" s="32">
        <f t="shared" si="2"/>
        <v>-62.390157634105677</v>
      </c>
      <c r="P12" s="33"/>
      <c r="Q12" s="32">
        <f t="shared" si="3"/>
        <v>-67.083936763625275</v>
      </c>
      <c r="R12" s="33"/>
      <c r="S12" s="32">
        <f t="shared" si="4"/>
        <v>-53.390157634105677</v>
      </c>
      <c r="T12" s="33"/>
      <c r="U12" s="32">
        <f t="shared" si="5"/>
        <v>-58.083936763625275</v>
      </c>
      <c r="V12" s="33"/>
      <c r="W12" s="32">
        <f t="shared" si="6"/>
        <v>-43.390157634105677</v>
      </c>
      <c r="X12" s="33"/>
      <c r="Y12" s="32">
        <f t="shared" si="7"/>
        <v>-48.083936763625275</v>
      </c>
      <c r="Z12" s="33"/>
      <c r="AA12" s="32">
        <f t="shared" si="8"/>
        <v>32.609842365894323</v>
      </c>
      <c r="AB12" s="33"/>
      <c r="AC12" s="32">
        <f t="shared" si="9"/>
        <v>27.916063236374725</v>
      </c>
      <c r="AD12" s="33"/>
      <c r="AE12" s="32">
        <f t="shared" si="19"/>
        <v>41.609842365894323</v>
      </c>
      <c r="AF12" s="33"/>
      <c r="AG12" s="32">
        <f t="shared" si="10"/>
        <v>36.916063236374725</v>
      </c>
      <c r="AH12" s="33"/>
      <c r="AI12" s="32">
        <f t="shared" si="11"/>
        <v>51.609842365894323</v>
      </c>
      <c r="AJ12" s="33"/>
      <c r="AK12" s="32">
        <f t="shared" si="12"/>
        <v>46.916063236374725</v>
      </c>
      <c r="AL12" s="33"/>
      <c r="AM12" s="32">
        <f t="shared" si="13"/>
        <v>42.609842365894323</v>
      </c>
      <c r="AN12" s="33"/>
      <c r="AO12" s="32">
        <f t="shared" si="14"/>
        <v>37.916063236374725</v>
      </c>
      <c r="AP12" s="33"/>
      <c r="AQ12" s="32">
        <f t="shared" si="15"/>
        <v>51.609842365894323</v>
      </c>
      <c r="AR12" s="33"/>
      <c r="AS12" s="32">
        <f t="shared" si="16"/>
        <v>46.916063236374725</v>
      </c>
      <c r="AT12" s="33"/>
      <c r="AU12" s="32">
        <f t="shared" si="17"/>
        <v>61.609842365894323</v>
      </c>
      <c r="AV12" s="33"/>
      <c r="AW12" s="32">
        <f t="shared" si="18"/>
        <v>56.916063236374725</v>
      </c>
      <c r="AX12" s="46"/>
      <c r="AY12" s="71">
        <f>O12-20</f>
        <v>-82.390157634105677</v>
      </c>
      <c r="AZ12" s="72">
        <f>Q12-20</f>
        <v>-87.083936763625275</v>
      </c>
      <c r="BA12" s="71">
        <f>O12-30.4</f>
        <v>-92.790157634105668</v>
      </c>
      <c r="BB12" s="72">
        <f>Q12-30.4</f>
        <v>-97.48393676362528</v>
      </c>
      <c r="BC12" s="72">
        <f>S12-20</f>
        <v>-73.390157634105677</v>
      </c>
      <c r="BD12" s="72">
        <f>U12-20</f>
        <v>-78.083936763625275</v>
      </c>
      <c r="BE12" s="72">
        <f>S12-30.4</f>
        <v>-83.790157634105668</v>
      </c>
      <c r="BF12" s="72">
        <f>U12-30.4</f>
        <v>-88.48393676362528</v>
      </c>
      <c r="BG12" s="72">
        <f>W12-20</f>
        <v>-63.390157634105677</v>
      </c>
      <c r="BH12" s="72">
        <f>Y12-20</f>
        <v>-68.083936763625275</v>
      </c>
      <c r="BI12" s="72">
        <f>W12-30.4</f>
        <v>-73.790157634105668</v>
      </c>
      <c r="BJ12" s="72">
        <f>Y12-30.4</f>
        <v>-78.48393676362528</v>
      </c>
    </row>
    <row r="13" spans="2:65" ht="16.5" thickTop="1" thickBot="1" x14ac:dyDescent="0.3">
      <c r="D13" s="26"/>
      <c r="E13" s="26"/>
      <c r="F13" s="1">
        <v>331.88</v>
      </c>
      <c r="G13" s="32">
        <f t="shared" si="0"/>
        <v>80.931421368224846</v>
      </c>
      <c r="H13" s="40"/>
      <c r="I13" s="32">
        <f>10*$G$24*LOG10(F10)+$G$26+10*$G$28*LOG10(3.4)+ $G$30</f>
        <v>94.525993939585263</v>
      </c>
      <c r="J13" s="40"/>
      <c r="K13" s="32">
        <f>G13+6</f>
        <v>86.931421368224846</v>
      </c>
      <c r="L13" s="40"/>
      <c r="M13" s="32">
        <f t="shared" si="1"/>
        <v>94.525993939585263</v>
      </c>
      <c r="N13" s="40"/>
      <c r="O13" s="32">
        <f t="shared" si="2"/>
        <v>-62.931421368224846</v>
      </c>
      <c r="P13" s="33"/>
      <c r="Q13" s="32">
        <f t="shared" si="3"/>
        <v>-70.525993939585263</v>
      </c>
      <c r="R13" s="33"/>
      <c r="S13" s="32">
        <f t="shared" si="4"/>
        <v>-53.931421368224846</v>
      </c>
      <c r="T13" s="33"/>
      <c r="U13" s="32">
        <f t="shared" si="5"/>
        <v>-61.525993939585263</v>
      </c>
      <c r="V13" s="33"/>
      <c r="W13" s="32">
        <f t="shared" si="6"/>
        <v>-43.931421368224846</v>
      </c>
      <c r="X13" s="33"/>
      <c r="Y13" s="32">
        <f t="shared" si="7"/>
        <v>-51.525993939585263</v>
      </c>
      <c r="Z13" s="33"/>
      <c r="AA13" s="32">
        <f t="shared" si="8"/>
        <v>32.068578631775154</v>
      </c>
      <c r="AB13" s="33"/>
      <c r="AC13" s="32">
        <f t="shared" si="9"/>
        <v>24.474006060414737</v>
      </c>
      <c r="AD13" s="33"/>
      <c r="AE13" s="32">
        <f t="shared" si="19"/>
        <v>41.068578631775154</v>
      </c>
      <c r="AF13" s="33"/>
      <c r="AG13" s="32">
        <f t="shared" si="10"/>
        <v>33.474006060414737</v>
      </c>
      <c r="AH13" s="33"/>
      <c r="AI13" s="32">
        <f t="shared" si="11"/>
        <v>51.068578631775154</v>
      </c>
      <c r="AJ13" s="33"/>
      <c r="AK13" s="32">
        <f t="shared" si="12"/>
        <v>43.474006060414737</v>
      </c>
      <c r="AL13" s="33"/>
      <c r="AM13" s="32">
        <f t="shared" si="13"/>
        <v>42.068578631775154</v>
      </c>
      <c r="AN13" s="33"/>
      <c r="AO13" s="32">
        <f t="shared" si="14"/>
        <v>34.474006060414737</v>
      </c>
      <c r="AP13" s="33"/>
      <c r="AQ13" s="32">
        <f t="shared" si="15"/>
        <v>51.068578631775154</v>
      </c>
      <c r="AR13" s="33"/>
      <c r="AS13" s="32">
        <f t="shared" si="16"/>
        <v>43.474006060414737</v>
      </c>
      <c r="AT13" s="33"/>
      <c r="AU13" s="32">
        <f t="shared" si="17"/>
        <v>61.068578631775154</v>
      </c>
      <c r="AV13" s="33"/>
      <c r="AW13" s="32">
        <f t="shared" si="18"/>
        <v>53.474006060414737</v>
      </c>
      <c r="AX13" s="46"/>
      <c r="AY13" s="71">
        <f>O13-20</f>
        <v>-82.931421368224846</v>
      </c>
      <c r="AZ13" s="72">
        <f>Q13-20</f>
        <v>-90.525993939585263</v>
      </c>
      <c r="BA13" s="71">
        <f>O13-30.4</f>
        <v>-93.331421368224852</v>
      </c>
      <c r="BB13" s="72">
        <f>Q13-30.4</f>
        <v>-100.92599393958525</v>
      </c>
      <c r="BC13" s="72">
        <f>S13-20</f>
        <v>-73.931421368224846</v>
      </c>
      <c r="BD13" s="72">
        <f>U13-20</f>
        <v>-81.525993939585263</v>
      </c>
      <c r="BE13" s="72">
        <f>S13-30.4</f>
        <v>-84.331421368224852</v>
      </c>
      <c r="BF13" s="72">
        <f>U13-30.4</f>
        <v>-91.925993939585254</v>
      </c>
      <c r="BG13" s="72">
        <f>W13-20</f>
        <v>-63.931421368224846</v>
      </c>
      <c r="BH13" s="72">
        <f>Y13-20</f>
        <v>-71.525993939585263</v>
      </c>
      <c r="BI13" s="72">
        <f>W13-30.4</f>
        <v>-74.331421368224852</v>
      </c>
      <c r="BJ13" s="72">
        <f>Y13-30.4</f>
        <v>-81.925993939585254</v>
      </c>
    </row>
    <row r="14" spans="2:65" ht="16.5" thickTop="1" thickBot="1" x14ac:dyDescent="0.3">
      <c r="D14" s="26" t="s">
        <v>9</v>
      </c>
      <c r="E14" s="26"/>
      <c r="F14" s="1">
        <v>335.45</v>
      </c>
      <c r="G14" s="32">
        <f t="shared" si="0"/>
        <v>81.024355664076637</v>
      </c>
      <c r="H14" s="40"/>
      <c r="I14" s="32">
        <f>10*$J$24*LOG10(F8)+$J$26+10*$J$28*LOG10(3.4)+ $J$30</f>
        <v>118.23274007660002</v>
      </c>
      <c r="J14" s="40"/>
      <c r="K14" s="32">
        <f>G14+30</f>
        <v>111.02435566407664</v>
      </c>
      <c r="L14" s="40"/>
      <c r="M14" s="32">
        <f t="shared" si="1"/>
        <v>118.23274007660002</v>
      </c>
      <c r="N14" s="40"/>
      <c r="O14" s="32">
        <f t="shared" si="2"/>
        <v>-87.024355664076637</v>
      </c>
      <c r="P14" s="33"/>
      <c r="Q14" s="32">
        <f t="shared" si="3"/>
        <v>-94.232740076600024</v>
      </c>
      <c r="R14" s="33"/>
      <c r="S14" s="32">
        <f t="shared" si="4"/>
        <v>-78.024355664076637</v>
      </c>
      <c r="T14" s="33"/>
      <c r="U14" s="32">
        <f t="shared" si="5"/>
        <v>-85.232740076600024</v>
      </c>
      <c r="V14" s="33"/>
      <c r="W14" s="32">
        <f t="shared" si="6"/>
        <v>-68.024355664076637</v>
      </c>
      <c r="X14" s="33"/>
      <c r="Y14" s="32">
        <f t="shared" si="7"/>
        <v>-75.232740076600024</v>
      </c>
      <c r="Z14" s="33"/>
      <c r="AA14" s="32">
        <f t="shared" si="8"/>
        <v>7.9756443359233629</v>
      </c>
      <c r="AB14" s="33"/>
      <c r="AC14" s="32">
        <f t="shared" si="9"/>
        <v>0.76725992339997617</v>
      </c>
      <c r="AD14" s="33"/>
      <c r="AE14" s="32">
        <f t="shared" si="19"/>
        <v>16.975644335923363</v>
      </c>
      <c r="AF14" s="33"/>
      <c r="AG14" s="32">
        <f t="shared" si="10"/>
        <v>9.7672599233999762</v>
      </c>
      <c r="AH14" s="33"/>
      <c r="AI14" s="32">
        <f t="shared" si="11"/>
        <v>26.975644335923363</v>
      </c>
      <c r="AJ14" s="33"/>
      <c r="AK14" s="32">
        <f t="shared" si="12"/>
        <v>19.767259923399976</v>
      </c>
      <c r="AL14" s="33"/>
      <c r="AM14" s="32">
        <f t="shared" si="13"/>
        <v>17.975644335923363</v>
      </c>
      <c r="AN14" s="33"/>
      <c r="AO14" s="32">
        <f t="shared" si="14"/>
        <v>10.767259923399976</v>
      </c>
      <c r="AP14" s="33"/>
      <c r="AQ14" s="32">
        <f t="shared" si="15"/>
        <v>26.975644335923363</v>
      </c>
      <c r="AR14" s="33"/>
      <c r="AS14" s="32">
        <f t="shared" si="16"/>
        <v>19.767259923399976</v>
      </c>
      <c r="AT14" s="33"/>
      <c r="AU14" s="32">
        <f t="shared" si="17"/>
        <v>36.975644335923363</v>
      </c>
      <c r="AV14" s="33"/>
      <c r="AW14" s="32">
        <f t="shared" si="18"/>
        <v>29.767259923399976</v>
      </c>
      <c r="AX14" s="46"/>
      <c r="AY14" s="71">
        <f>O14-20</f>
        <v>-107.02435566407664</v>
      </c>
      <c r="AZ14" s="72">
        <f>Q14-20</f>
        <v>-114.23274007660002</v>
      </c>
      <c r="BA14" s="71">
        <f>O14-30.4</f>
        <v>-117.42435566407664</v>
      </c>
      <c r="BB14" s="72">
        <f>Q14-30.4</f>
        <v>-124.63274007660002</v>
      </c>
      <c r="BC14" s="72">
        <f>S14-20</f>
        <v>-98.024355664076637</v>
      </c>
      <c r="BD14" s="72">
        <f>U14-20</f>
        <v>-105.23274007660002</v>
      </c>
      <c r="BE14" s="72">
        <f>S14-30.4</f>
        <v>-108.42435566407664</v>
      </c>
      <c r="BF14" s="72">
        <f>U14-30.4</f>
        <v>-115.63274007660002</v>
      </c>
      <c r="BG14" s="72">
        <f>W14-20</f>
        <v>-88.024355664076637</v>
      </c>
      <c r="BH14" s="72">
        <f>Y14-20</f>
        <v>-95.232740076600024</v>
      </c>
      <c r="BI14" s="72">
        <f>W14-30.4</f>
        <v>-98.424355664076643</v>
      </c>
      <c r="BJ14" s="72">
        <f>Y14-30.4</f>
        <v>-105.63274007660002</v>
      </c>
    </row>
    <row r="15" spans="2:65" ht="16.5" thickTop="1" thickBot="1" x14ac:dyDescent="0.3">
      <c r="D15" s="26"/>
      <c r="E15" s="26"/>
      <c r="F15" s="1">
        <v>320.77999999999997</v>
      </c>
      <c r="G15" s="32">
        <f t="shared" si="0"/>
        <v>80.635945400883983</v>
      </c>
      <c r="H15" s="40"/>
      <c r="I15" s="32">
        <f>10*$J$24*LOG10(F9)+$J$26+10*$J$28*LOG10(3.4)+ $J$30</f>
        <v>121.69800151336962</v>
      </c>
      <c r="J15" s="40"/>
      <c r="K15" s="32">
        <f>G15+30</f>
        <v>110.63594540088398</v>
      </c>
      <c r="L15" s="40"/>
      <c r="M15" s="32">
        <f t="shared" si="1"/>
        <v>121.69800151336962</v>
      </c>
      <c r="N15" s="40"/>
      <c r="O15" s="32">
        <f t="shared" si="2"/>
        <v>-86.635945400883983</v>
      </c>
      <c r="P15" s="33"/>
      <c r="Q15" s="32">
        <f t="shared" si="3"/>
        <v>-97.698001513369618</v>
      </c>
      <c r="R15" s="33"/>
      <c r="S15" s="32">
        <f t="shared" si="4"/>
        <v>-77.635945400883983</v>
      </c>
      <c r="T15" s="33"/>
      <c r="U15" s="32">
        <f t="shared" si="5"/>
        <v>-88.698001513369618</v>
      </c>
      <c r="V15" s="33"/>
      <c r="W15" s="32">
        <f t="shared" si="6"/>
        <v>-67.635945400883983</v>
      </c>
      <c r="X15" s="33"/>
      <c r="Y15" s="32">
        <f t="shared" si="7"/>
        <v>-78.698001513369618</v>
      </c>
      <c r="Z15" s="33"/>
      <c r="AA15" s="32">
        <f t="shared" si="8"/>
        <v>8.3640545991160167</v>
      </c>
      <c r="AB15" s="33"/>
      <c r="AC15" s="32">
        <f t="shared" si="9"/>
        <v>-2.6980015133696185</v>
      </c>
      <c r="AD15" s="33"/>
      <c r="AE15" s="32">
        <f t="shared" si="19"/>
        <v>17.364054599116017</v>
      </c>
      <c r="AF15" s="33"/>
      <c r="AG15" s="32">
        <f t="shared" si="10"/>
        <v>6.3019984866303815</v>
      </c>
      <c r="AH15" s="33"/>
      <c r="AI15" s="32">
        <f t="shared" si="11"/>
        <v>27.364054599116017</v>
      </c>
      <c r="AJ15" s="33"/>
      <c r="AK15" s="32">
        <f t="shared" si="12"/>
        <v>16.301998486630382</v>
      </c>
      <c r="AL15" s="33"/>
      <c r="AM15" s="32">
        <f t="shared" si="13"/>
        <v>18.364054599116017</v>
      </c>
      <c r="AN15" s="33"/>
      <c r="AO15" s="32">
        <f t="shared" si="14"/>
        <v>7.3019984866303815</v>
      </c>
      <c r="AP15" s="33"/>
      <c r="AQ15" s="32">
        <f t="shared" si="15"/>
        <v>27.364054599116017</v>
      </c>
      <c r="AR15" s="33"/>
      <c r="AS15" s="32">
        <f t="shared" si="16"/>
        <v>16.301998486630382</v>
      </c>
      <c r="AT15" s="33"/>
      <c r="AU15" s="32">
        <f t="shared" si="17"/>
        <v>37.364054599116017</v>
      </c>
      <c r="AV15" s="33"/>
      <c r="AW15" s="32">
        <f t="shared" si="18"/>
        <v>26.301998486630382</v>
      </c>
      <c r="AX15" s="46"/>
      <c r="AY15" s="71">
        <f>O15-20</f>
        <v>-106.63594540088398</v>
      </c>
      <c r="AZ15" s="72">
        <f>Q15-20</f>
        <v>-117.69800151336962</v>
      </c>
      <c r="BA15" s="71">
        <f>O15-30.4</f>
        <v>-117.03594540088397</v>
      </c>
      <c r="BB15" s="72">
        <f>Q15-30.4</f>
        <v>-128.09800151336961</v>
      </c>
      <c r="BC15" s="72">
        <f>S15-20</f>
        <v>-97.635945400883983</v>
      </c>
      <c r="BD15" s="72">
        <f>U15-20</f>
        <v>-108.69800151336962</v>
      </c>
      <c r="BE15" s="72">
        <f>S15-30.4</f>
        <v>-108.03594540088397</v>
      </c>
      <c r="BF15" s="72">
        <f>U15-30.4</f>
        <v>-119.09800151336961</v>
      </c>
      <c r="BG15" s="72">
        <f>W15-20</f>
        <v>-87.635945400883983</v>
      </c>
      <c r="BH15" s="72">
        <f>Y15-20</f>
        <v>-98.698001513369618</v>
      </c>
      <c r="BI15" s="72">
        <f>W15-30.4</f>
        <v>-98.035945400883975</v>
      </c>
      <c r="BJ15" s="72">
        <f>Y15-30.4</f>
        <v>-109.09800151336961</v>
      </c>
    </row>
    <row r="16" spans="2:65" ht="16.5" thickTop="1" thickBot="1" x14ac:dyDescent="0.3">
      <c r="D16" s="26"/>
      <c r="E16" s="27"/>
      <c r="F16" s="1">
        <v>349.34</v>
      </c>
      <c r="G16" s="32">
        <f t="shared" si="0"/>
        <v>81.376766058070757</v>
      </c>
      <c r="H16" s="40"/>
      <c r="I16" s="32">
        <f>10*$J$24*LOG10(F10)+$J$26+10*$J$28*LOG10(3.4)+ $J$30</f>
        <v>126.0005729833196</v>
      </c>
      <c r="J16" s="40"/>
      <c r="K16" s="32">
        <f>G16+30</f>
        <v>111.37676605807076</v>
      </c>
      <c r="L16" s="40"/>
      <c r="M16" s="32">
        <f t="shared" si="1"/>
        <v>126.0005729833196</v>
      </c>
      <c r="N16" s="40"/>
      <c r="O16" s="32">
        <f t="shared" si="2"/>
        <v>-87.376766058070757</v>
      </c>
      <c r="P16" s="33"/>
      <c r="Q16" s="32">
        <f t="shared" si="3"/>
        <v>-102.0005729833196</v>
      </c>
      <c r="R16" s="33"/>
      <c r="S16" s="32">
        <f t="shared" si="4"/>
        <v>-78.376766058070757</v>
      </c>
      <c r="T16" s="33"/>
      <c r="U16" s="32">
        <f t="shared" si="5"/>
        <v>-93.0005729833196</v>
      </c>
      <c r="V16" s="33"/>
      <c r="W16" s="32">
        <f t="shared" si="6"/>
        <v>-68.376766058070757</v>
      </c>
      <c r="X16" s="33"/>
      <c r="Y16" s="32">
        <f t="shared" si="7"/>
        <v>-83.0005729833196</v>
      </c>
      <c r="Z16" s="33"/>
      <c r="AA16" s="32">
        <f t="shared" si="8"/>
        <v>7.623233941929243</v>
      </c>
      <c r="AB16" s="33"/>
      <c r="AC16" s="32">
        <f t="shared" si="9"/>
        <v>-7.0005729833196</v>
      </c>
      <c r="AD16" s="33"/>
      <c r="AE16" s="32">
        <f t="shared" si="19"/>
        <v>16.623233941929243</v>
      </c>
      <c r="AF16" s="33"/>
      <c r="AG16" s="32">
        <f t="shared" si="10"/>
        <v>1.9994270166804</v>
      </c>
      <c r="AH16" s="33"/>
      <c r="AI16" s="32">
        <f t="shared" si="11"/>
        <v>26.623233941929243</v>
      </c>
      <c r="AJ16" s="33"/>
      <c r="AK16" s="32">
        <f t="shared" si="12"/>
        <v>11.9994270166804</v>
      </c>
      <c r="AL16" s="33"/>
      <c r="AM16" s="32">
        <f t="shared" si="13"/>
        <v>17.623233941929243</v>
      </c>
      <c r="AN16" s="33"/>
      <c r="AO16" s="32">
        <f t="shared" si="14"/>
        <v>2.9994270166804</v>
      </c>
      <c r="AP16" s="33"/>
      <c r="AQ16" s="32">
        <f t="shared" si="15"/>
        <v>26.623233941929243</v>
      </c>
      <c r="AR16" s="33"/>
      <c r="AS16" s="32">
        <f t="shared" si="16"/>
        <v>11.9994270166804</v>
      </c>
      <c r="AT16" s="33"/>
      <c r="AU16" s="32">
        <f t="shared" si="17"/>
        <v>36.623233941929243</v>
      </c>
      <c r="AV16" s="33"/>
      <c r="AW16" s="32">
        <f t="shared" si="18"/>
        <v>21.9994270166804</v>
      </c>
      <c r="AX16" s="46"/>
      <c r="AY16" s="71">
        <f>O16-20</f>
        <v>-107.37676605807076</v>
      </c>
      <c r="AZ16" s="72">
        <f>Q16-20</f>
        <v>-122.0005729833196</v>
      </c>
      <c r="BA16" s="71">
        <f>O16-30.4</f>
        <v>-117.77676605807076</v>
      </c>
      <c r="BB16" s="72">
        <f>Q16-30.4</f>
        <v>-132.40057298331959</v>
      </c>
      <c r="BC16" s="72">
        <f>S16-20</f>
        <v>-98.376766058070757</v>
      </c>
      <c r="BD16" s="72">
        <f>U16-20</f>
        <v>-113.0005729833196</v>
      </c>
      <c r="BE16" s="72">
        <f>S16-30.4</f>
        <v>-108.77676605807076</v>
      </c>
      <c r="BF16" s="72">
        <f>U16-30.4</f>
        <v>-123.40057298331959</v>
      </c>
      <c r="BG16" s="72">
        <f>W16-20</f>
        <v>-88.376766058070757</v>
      </c>
      <c r="BH16" s="72">
        <f>Y16-20</f>
        <v>-103.0005729833196</v>
      </c>
      <c r="BI16" s="72">
        <f>W16-30.4</f>
        <v>-98.776766058070763</v>
      </c>
      <c r="BJ16" s="72">
        <f>Y16-30.4</f>
        <v>-113.40057298331959</v>
      </c>
    </row>
    <row r="17" spans="3:56" ht="16.5" thickTop="1" thickBot="1" x14ac:dyDescent="0.3">
      <c r="E17" s="3"/>
      <c r="F17" s="4" t="s">
        <v>3</v>
      </c>
      <c r="G17" s="34" t="s">
        <v>6</v>
      </c>
      <c r="H17" s="35"/>
      <c r="I17" s="35"/>
      <c r="J17" s="35"/>
      <c r="K17" s="35"/>
      <c r="L17" s="35"/>
      <c r="M17" s="35"/>
      <c r="N17" s="36"/>
      <c r="O17" s="37" t="s">
        <v>7</v>
      </c>
      <c r="P17" s="37"/>
      <c r="Q17" s="37"/>
      <c r="R17" s="37"/>
      <c r="S17" s="37"/>
      <c r="T17" s="37"/>
      <c r="U17" s="37"/>
      <c r="V17" s="37"/>
      <c r="W17" s="37"/>
      <c r="X17" s="37"/>
      <c r="Y17" s="37"/>
      <c r="Z17" s="37"/>
      <c r="AA17" s="38" t="s">
        <v>7</v>
      </c>
      <c r="AB17" s="39"/>
      <c r="AC17" s="39"/>
      <c r="AD17" s="39"/>
      <c r="AE17" s="39"/>
      <c r="AF17" s="39"/>
      <c r="AG17" s="39"/>
      <c r="AH17" s="39"/>
      <c r="AI17" s="39"/>
      <c r="AJ17" s="39"/>
      <c r="AK17" s="39"/>
      <c r="AL17" s="39"/>
      <c r="AM17" s="39"/>
      <c r="AN17" s="39"/>
      <c r="AO17" s="39"/>
      <c r="AP17" s="39"/>
      <c r="AQ17" s="39"/>
      <c r="AR17" s="39"/>
      <c r="AS17" s="39"/>
      <c r="AT17" s="39"/>
      <c r="AU17" s="39"/>
      <c r="AV17" s="39"/>
      <c r="AW17" s="39"/>
      <c r="AX17" s="39"/>
      <c r="AY17" s="63"/>
    </row>
    <row r="18" spans="3:56" ht="16.5" thickTop="1" thickBot="1" x14ac:dyDescent="0.3">
      <c r="F18" s="3"/>
      <c r="G18" s="17" t="s">
        <v>8</v>
      </c>
      <c r="H18" s="18"/>
      <c r="I18" s="19" t="s">
        <v>20</v>
      </c>
      <c r="J18" s="18"/>
      <c r="K18" s="20" t="s">
        <v>15</v>
      </c>
      <c r="L18" s="21"/>
      <c r="M18" s="21"/>
      <c r="N18" s="21"/>
      <c r="O18" s="22" t="s">
        <v>16</v>
      </c>
      <c r="P18" s="21"/>
      <c r="Q18" s="21"/>
      <c r="R18" s="21"/>
      <c r="S18" s="21"/>
      <c r="T18" s="21"/>
      <c r="U18" s="21"/>
      <c r="V18" s="21"/>
      <c r="W18" s="21"/>
      <c r="X18" s="21"/>
      <c r="Y18" s="21"/>
      <c r="Z18" s="21"/>
      <c r="AA18" s="23" t="s">
        <v>28</v>
      </c>
      <c r="AB18" s="24"/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5"/>
    </row>
    <row r="19" spans="3:56" ht="15.75" thickTop="1" x14ac:dyDescent="0.25"/>
    <row r="20" spans="3:56" ht="15.75" thickBot="1" x14ac:dyDescent="0.3">
      <c r="AA20" s="61">
        <f>AA16</f>
        <v>7.623233941929243</v>
      </c>
      <c r="AB20" s="60"/>
      <c r="AC20" s="61">
        <f>AC14</f>
        <v>0.76725992339997617</v>
      </c>
      <c r="AD20" s="60"/>
      <c r="AE20" s="61">
        <f>AE16</f>
        <v>16.623233941929243</v>
      </c>
      <c r="AF20" s="60"/>
      <c r="AG20" s="61">
        <f>AG16</f>
        <v>1.9994270166804</v>
      </c>
      <c r="AH20" s="60"/>
      <c r="AI20" s="61">
        <f>AI14</f>
        <v>26.975644335923363</v>
      </c>
      <c r="AJ20" s="60"/>
      <c r="AK20" s="61">
        <f>AK16</f>
        <v>11.9994270166804</v>
      </c>
      <c r="AL20" s="60"/>
      <c r="AM20" s="61">
        <f>AM16</f>
        <v>17.623233941929243</v>
      </c>
      <c r="AN20" s="60"/>
      <c r="AO20" s="61">
        <f>AO16</f>
        <v>2.9994270166804</v>
      </c>
      <c r="AP20" s="60"/>
      <c r="AQ20" s="61">
        <f>AQ16</f>
        <v>26.623233941929243</v>
      </c>
      <c r="AR20" s="60"/>
      <c r="AS20" s="61">
        <f>AS16</f>
        <v>11.9994270166804</v>
      </c>
      <c r="AT20" s="60"/>
      <c r="AU20" s="61">
        <f>AU16</f>
        <v>36.623233941929243</v>
      </c>
      <c r="AV20" s="60"/>
      <c r="AW20" s="61">
        <f>AW16</f>
        <v>21.9994270166804</v>
      </c>
      <c r="AX20" s="59"/>
      <c r="AY20" s="64" t="s">
        <v>50</v>
      </c>
      <c r="AZ20" s="59"/>
      <c r="BA20" s="56" t="s">
        <v>46</v>
      </c>
      <c r="BB20" s="56"/>
      <c r="BC20" s="56" t="s">
        <v>47</v>
      </c>
      <c r="BD20" s="56"/>
    </row>
    <row r="21" spans="3:56" ht="76.5" customHeight="1" thickTop="1" thickBot="1" x14ac:dyDescent="0.3">
      <c r="D21" s="26" t="s">
        <v>11</v>
      </c>
      <c r="E21" s="26"/>
      <c r="G21" s="28" t="s">
        <v>10</v>
      </c>
      <c r="H21" s="29"/>
      <c r="J21" s="26" t="s">
        <v>9</v>
      </c>
      <c r="K21" s="26"/>
      <c r="X21" s="51" t="s">
        <v>31</v>
      </c>
      <c r="Y21" s="51" t="s">
        <v>36</v>
      </c>
      <c r="Z21" s="51" t="s">
        <v>32</v>
      </c>
      <c r="AA21" s="54" t="s">
        <v>37</v>
      </c>
      <c r="AB21" s="55"/>
      <c r="AC21" s="55"/>
      <c r="AD21" s="55"/>
      <c r="AE21" s="54" t="s">
        <v>38</v>
      </c>
      <c r="AF21" s="55"/>
      <c r="AG21" s="55"/>
      <c r="AH21" s="55"/>
      <c r="AI21" s="54" t="s">
        <v>39</v>
      </c>
      <c r="AJ21" s="55"/>
      <c r="AK21" s="55"/>
      <c r="AL21" s="55"/>
      <c r="AM21" s="54" t="s">
        <v>37</v>
      </c>
      <c r="AN21" s="55"/>
      <c r="AO21" s="55"/>
      <c r="AP21" s="55"/>
      <c r="AQ21" s="54" t="s">
        <v>38</v>
      </c>
      <c r="AR21" s="55"/>
      <c r="AS21" s="55"/>
      <c r="AT21" s="55"/>
      <c r="AU21" s="54" t="s">
        <v>39</v>
      </c>
      <c r="AV21" s="55"/>
      <c r="AW21" s="55"/>
      <c r="AX21" s="55"/>
      <c r="AY21" s="73" t="s">
        <v>49</v>
      </c>
      <c r="AZ21" s="73" t="s">
        <v>48</v>
      </c>
      <c r="BA21" s="73" t="s">
        <v>49</v>
      </c>
      <c r="BB21" s="73" t="s">
        <v>48</v>
      </c>
      <c r="BC21" s="73" t="s">
        <v>49</v>
      </c>
      <c r="BD21" s="73" t="s">
        <v>49</v>
      </c>
    </row>
    <row r="22" spans="3:56" ht="16.5" thickTop="1" thickBot="1" x14ac:dyDescent="0.3">
      <c r="D22" s="26"/>
      <c r="E22" s="26"/>
      <c r="G22" s="30"/>
      <c r="H22" s="31"/>
      <c r="J22" s="26"/>
      <c r="K22" s="26"/>
      <c r="X22" s="51" t="s">
        <v>33</v>
      </c>
      <c r="Y22" s="52">
        <v>1</v>
      </c>
      <c r="Z22" s="52">
        <v>34</v>
      </c>
      <c r="AA22" s="57">
        <f>MAX(0, Z22-$AA$16)</f>
        <v>26.376766058070757</v>
      </c>
      <c r="AB22" s="56"/>
      <c r="AC22" s="57">
        <f>MAX(0, Z22-$AC$14)</f>
        <v>33.232740076600024</v>
      </c>
      <c r="AD22" s="56"/>
      <c r="AE22" s="57">
        <f>MAX(0, Z22-$AE$16)</f>
        <v>17.376766058070757</v>
      </c>
      <c r="AF22" s="56"/>
      <c r="AG22" s="57">
        <f>MAX(0, Z22-$AG$16)</f>
        <v>32.0005729833196</v>
      </c>
      <c r="AH22" s="56"/>
      <c r="AI22" s="57">
        <f>MAX(0, Z22-$AI$16)</f>
        <v>7.376766058070757</v>
      </c>
      <c r="AJ22" s="56"/>
      <c r="AK22" s="57">
        <f>MAX(0, Z22-$AK$16)</f>
        <v>22.0005729833196</v>
      </c>
      <c r="AL22" s="56"/>
      <c r="AM22" s="57">
        <f>MAX(0, Z22-$AM$16)</f>
        <v>16.376766058070757</v>
      </c>
      <c r="AN22" s="56"/>
      <c r="AO22" s="57">
        <f>MAX(0, Z22-$AO$16)</f>
        <v>31.0005729833196</v>
      </c>
      <c r="AP22" s="56"/>
      <c r="AQ22" s="57">
        <f>MAX(0, Z22-$AQ$16)</f>
        <v>7.376766058070757</v>
      </c>
      <c r="AR22" s="56"/>
      <c r="AS22" s="57">
        <f>MAX(0, Z22-$AS$16)</f>
        <v>22.0005729833196</v>
      </c>
      <c r="AT22" s="56"/>
      <c r="AU22" s="57">
        <f>MAX(0, Z22-$AU$16)</f>
        <v>0</v>
      </c>
      <c r="AV22" s="58"/>
      <c r="AW22" s="57">
        <f>MAX(0, Z22-$AW$16)</f>
        <v>12.0005729833196</v>
      </c>
      <c r="AX22" s="56"/>
      <c r="AY22" s="70">
        <f>10^((O8-30)/10) / ( ((300000000/800000000)^2) / (4*PI()) )</f>
        <v>9.3815285162490156E-7</v>
      </c>
      <c r="AZ22" s="70">
        <f>10^((Q8-30)/10) / ( ((300000000/3400000000)^2) / (4*PI()) )</f>
        <v>5.4215780119897471E-7</v>
      </c>
      <c r="BA22" s="70">
        <f>10^((S8-30)/10) / ( ((300000000/800000000)^2) / (4*PI()) )</f>
        <v>7.4520129853276052E-6</v>
      </c>
      <c r="BB22" s="70">
        <f>10^((U8-30)/10) / ( ((300000000/3400000000)^2) / (4*PI()) )</f>
        <v>4.3065124916838036E-6</v>
      </c>
      <c r="BC22" s="70">
        <f>10^((W8-30)/10) / ( ((300000000/800000000)^2) / (4*PI()) )</f>
        <v>7.4520129853275998E-5</v>
      </c>
      <c r="BD22" s="70">
        <f>10^((Y8-30)/10) / ( ((300000000/3400000000)^2) / (4*PI()) )</f>
        <v>4.306512491683793E-5</v>
      </c>
    </row>
    <row r="23" spans="3:56" ht="16.5" thickTop="1" thickBot="1" x14ac:dyDescent="0.3">
      <c r="D23" s="27"/>
      <c r="E23" s="27"/>
      <c r="G23" s="30"/>
      <c r="H23" s="31"/>
      <c r="J23" s="26"/>
      <c r="K23" s="26"/>
      <c r="X23" s="51" t="s">
        <v>33</v>
      </c>
      <c r="Y23" s="52">
        <v>4</v>
      </c>
      <c r="Z23" s="52">
        <v>7</v>
      </c>
      <c r="AA23" s="57">
        <f t="shared" ref="AA23:AA29" si="20">MAX(0, Z23-$AA$16)</f>
        <v>0</v>
      </c>
      <c r="AB23" s="56"/>
      <c r="AC23" s="57">
        <f t="shared" ref="AC23:AC29" si="21">MAX(0, Z23-$AC$14)</f>
        <v>6.2327400766000238</v>
      </c>
      <c r="AD23" s="56"/>
      <c r="AE23" s="57">
        <f t="shared" ref="AE23:AE29" si="22">MAX(0, Z23-$AE$16)</f>
        <v>0</v>
      </c>
      <c r="AF23" s="56"/>
      <c r="AG23" s="57">
        <f t="shared" ref="AG23:AG29" si="23">MAX(0, Z23-$AG$16)</f>
        <v>5.0005729833196</v>
      </c>
      <c r="AH23" s="56"/>
      <c r="AI23" s="57">
        <f t="shared" ref="AI23:AI29" si="24">MAX(0, Z23-$AI$16)</f>
        <v>0</v>
      </c>
      <c r="AJ23" s="56"/>
      <c r="AK23" s="57">
        <f t="shared" ref="AK23:AK29" si="25">MAX(0, Z23-$AK$16)</f>
        <v>0</v>
      </c>
      <c r="AL23" s="56"/>
      <c r="AM23" s="57">
        <f t="shared" ref="AM23:AM29" si="26">MAX(0, Z23-$AM$16)</f>
        <v>0</v>
      </c>
      <c r="AN23" s="56"/>
      <c r="AO23" s="57">
        <f t="shared" ref="AO23:AO29" si="27">MAX(0, Z23-$AO$16)</f>
        <v>4.0005729833196</v>
      </c>
      <c r="AP23" s="56"/>
      <c r="AQ23" s="57">
        <f t="shared" ref="AQ23:AQ29" si="28">MAX(0, Z23-$AQ$16)</f>
        <v>0</v>
      </c>
      <c r="AR23" s="56"/>
      <c r="AS23" s="57">
        <f t="shared" ref="AS23:AS29" si="29">MAX(0, Z23-$AS$16)</f>
        <v>0</v>
      </c>
      <c r="AT23" s="56"/>
      <c r="AU23" s="57">
        <f t="shared" ref="AU23:AU29" si="30">MAX(0, Z23-$AU$16)</f>
        <v>0</v>
      </c>
      <c r="AV23" s="58"/>
      <c r="AW23" s="57">
        <f t="shared" ref="AW23:AW29" si="31">MAX(0, Z23-$AW$16)</f>
        <v>0</v>
      </c>
      <c r="AX23" s="56"/>
      <c r="AY23" s="70">
        <f t="shared" ref="AY23:AZ30" si="32">10^((O9-30)/10) / ( ((300000000/800000000)^2) / (4*PI()) )</f>
        <v>5.946462216582086E-7</v>
      </c>
      <c r="AZ23" s="70">
        <f t="shared" ref="AZ23:AZ30" si="33">10^((Q9-30)/10) / ( ((300000000/3400000000)^2) / (4*PI()) )</f>
        <v>3.4364558767486796E-7</v>
      </c>
      <c r="BA23" s="70">
        <f t="shared" ref="BA23:BA31" si="34">10^((S9-30)/10) / ( ((300000000/800000000)^2) / (4*PI()) )</f>
        <v>4.7234428353522793E-6</v>
      </c>
      <c r="BB23" s="70">
        <f t="shared" ref="BB23:BB30" si="35">10^((U9-30)/10) / ( ((300000000/3400000000)^2) / (4*PI()) )</f>
        <v>2.7296739302856673E-6</v>
      </c>
      <c r="BC23" s="70">
        <f t="shared" ref="BC23:BC30" si="36">10^((W9-30)/10) / ( ((300000000/800000000)^2) / (4*PI()) )</f>
        <v>4.7234428353522854E-5</v>
      </c>
      <c r="BD23" s="70">
        <f t="shared" ref="BD23:BD30" si="37">10^((Y9-30)/10) / ( ((300000000/3400000000)^2) / (4*PI()) )</f>
        <v>2.7296739302856609E-5</v>
      </c>
    </row>
    <row r="24" spans="3:56" ht="16.5" thickTop="1" thickBot="1" x14ac:dyDescent="0.3">
      <c r="C24" s="7" t="s">
        <v>12</v>
      </c>
      <c r="D24" s="13">
        <v>2</v>
      </c>
      <c r="E24" s="14"/>
      <c r="G24" s="13">
        <v>2.8</v>
      </c>
      <c r="H24" s="14"/>
      <c r="J24" s="13">
        <v>3.5</v>
      </c>
      <c r="K24" s="14"/>
      <c r="X24" s="52"/>
      <c r="Y24" s="52"/>
      <c r="Z24" s="52"/>
      <c r="AA24" s="57">
        <f t="shared" si="20"/>
        <v>0</v>
      </c>
      <c r="AB24" s="56"/>
      <c r="AC24" s="57">
        <f t="shared" si="21"/>
        <v>0</v>
      </c>
      <c r="AD24" s="56"/>
      <c r="AE24" s="57">
        <f t="shared" si="22"/>
        <v>0</v>
      </c>
      <c r="AF24" s="56"/>
      <c r="AG24" s="57">
        <f t="shared" si="23"/>
        <v>0</v>
      </c>
      <c r="AH24" s="56"/>
      <c r="AI24" s="57">
        <f t="shared" si="24"/>
        <v>0</v>
      </c>
      <c r="AJ24" s="56"/>
      <c r="AK24" s="57">
        <f t="shared" si="25"/>
        <v>0</v>
      </c>
      <c r="AL24" s="56"/>
      <c r="AM24" s="57">
        <f t="shared" si="26"/>
        <v>0</v>
      </c>
      <c r="AN24" s="56"/>
      <c r="AO24" s="57">
        <f t="shared" si="27"/>
        <v>0</v>
      </c>
      <c r="AP24" s="56"/>
      <c r="AQ24" s="57">
        <f t="shared" si="28"/>
        <v>0</v>
      </c>
      <c r="AR24" s="56"/>
      <c r="AS24" s="57">
        <f t="shared" si="29"/>
        <v>0</v>
      </c>
      <c r="AT24" s="56"/>
      <c r="AU24" s="57">
        <f t="shared" si="30"/>
        <v>0</v>
      </c>
      <c r="AV24" s="58"/>
      <c r="AW24" s="57">
        <f t="shared" si="31"/>
        <v>0</v>
      </c>
      <c r="AX24" s="56"/>
      <c r="AY24" s="70">
        <f t="shared" si="32"/>
        <v>3.3759611243668115E-7</v>
      </c>
      <c r="AZ24" s="70">
        <f t="shared" si="33"/>
        <v>1.9509653005368961E-7</v>
      </c>
      <c r="BA24" s="70">
        <f t="shared" si="34"/>
        <v>2.6816212404160861E-6</v>
      </c>
      <c r="BB24" s="70">
        <f t="shared" si="35"/>
        <v>1.549706823183803E-6</v>
      </c>
      <c r="BC24" s="70">
        <f t="shared" si="36"/>
        <v>2.6816212404160889E-5</v>
      </c>
      <c r="BD24" s="70">
        <f t="shared" si="37"/>
        <v>1.5497068231838048E-5</v>
      </c>
    </row>
    <row r="25" spans="3:56" ht="30.75" thickBot="1" x14ac:dyDescent="0.3">
      <c r="C25" s="8"/>
      <c r="D25" s="15"/>
      <c r="E25" s="16"/>
      <c r="G25" s="15"/>
      <c r="H25" s="16"/>
      <c r="I25" s="2"/>
      <c r="J25" s="15"/>
      <c r="K25" s="16"/>
      <c r="X25" s="51" t="s">
        <v>34</v>
      </c>
      <c r="Y25" s="52">
        <v>1</v>
      </c>
      <c r="Z25" s="52">
        <v>40</v>
      </c>
      <c r="AA25" s="57">
        <f t="shared" si="20"/>
        <v>32.376766058070757</v>
      </c>
      <c r="AB25" s="56"/>
      <c r="AC25" s="57">
        <f t="shared" si="21"/>
        <v>39.232740076600024</v>
      </c>
      <c r="AD25" s="56"/>
      <c r="AE25" s="57">
        <f t="shared" si="22"/>
        <v>23.376766058070757</v>
      </c>
      <c r="AF25" s="56"/>
      <c r="AG25" s="57">
        <f t="shared" si="23"/>
        <v>38.0005729833196</v>
      </c>
      <c r="AH25" s="56"/>
      <c r="AI25" s="57">
        <f t="shared" si="24"/>
        <v>13.376766058070757</v>
      </c>
      <c r="AJ25" s="56"/>
      <c r="AK25" s="57">
        <f t="shared" si="25"/>
        <v>28.0005729833196</v>
      </c>
      <c r="AL25" s="56"/>
      <c r="AM25" s="57">
        <f t="shared" si="26"/>
        <v>22.376766058070757</v>
      </c>
      <c r="AN25" s="56"/>
      <c r="AO25" s="57">
        <f t="shared" si="27"/>
        <v>37.0005729833196</v>
      </c>
      <c r="AP25" s="56"/>
      <c r="AQ25" s="57">
        <f t="shared" si="28"/>
        <v>13.376766058070757</v>
      </c>
      <c r="AR25" s="56"/>
      <c r="AS25" s="57">
        <f t="shared" si="29"/>
        <v>28.0005729833196</v>
      </c>
      <c r="AT25" s="56"/>
      <c r="AU25" s="57">
        <f t="shared" si="30"/>
        <v>3.376766058070757</v>
      </c>
      <c r="AV25" s="58"/>
      <c r="AW25" s="57">
        <f t="shared" si="31"/>
        <v>18.0005729833196</v>
      </c>
      <c r="AX25" s="56"/>
      <c r="AY25" s="70">
        <f t="shared" si="32"/>
        <v>5.4697969892883533E-8</v>
      </c>
      <c r="AZ25" s="70">
        <f t="shared" si="33"/>
        <v>5.9807056335601979E-7</v>
      </c>
      <c r="BA25" s="70">
        <f t="shared" si="34"/>
        <v>4.3448141868016165E-7</v>
      </c>
      <c r="BB25" s="70">
        <f t="shared" si="35"/>
        <v>4.7506433483114303E-6</v>
      </c>
      <c r="BC25" s="70">
        <f t="shared" si="36"/>
        <v>4.3448141868016056E-6</v>
      </c>
      <c r="BD25" s="70">
        <f t="shared" si="37"/>
        <v>4.7506433483114186E-5</v>
      </c>
    </row>
    <row r="26" spans="3:56" ht="31.5" thickTop="1" thickBot="1" x14ac:dyDescent="0.3">
      <c r="C26" s="7" t="s">
        <v>13</v>
      </c>
      <c r="D26" s="9">
        <v>31.4</v>
      </c>
      <c r="E26" s="10"/>
      <c r="G26" s="9">
        <v>11.4</v>
      </c>
      <c r="H26" s="10"/>
      <c r="J26" s="9">
        <v>24.4</v>
      </c>
      <c r="K26" s="10"/>
      <c r="X26" s="51" t="s">
        <v>34</v>
      </c>
      <c r="Y26" s="52">
        <v>4</v>
      </c>
      <c r="Z26" s="52">
        <v>14</v>
      </c>
      <c r="AA26" s="57">
        <f t="shared" si="20"/>
        <v>6.376766058070757</v>
      </c>
      <c r="AB26" s="56"/>
      <c r="AC26" s="57">
        <f t="shared" si="21"/>
        <v>13.232740076600024</v>
      </c>
      <c r="AD26" s="56"/>
      <c r="AE26" s="57">
        <f t="shared" si="22"/>
        <v>0</v>
      </c>
      <c r="AF26" s="56"/>
      <c r="AG26" s="57">
        <f t="shared" si="23"/>
        <v>12.0005729833196</v>
      </c>
      <c r="AH26" s="56"/>
      <c r="AI26" s="57">
        <f t="shared" si="24"/>
        <v>0</v>
      </c>
      <c r="AJ26" s="56"/>
      <c r="AK26" s="57">
        <f t="shared" si="25"/>
        <v>2.0005729833196</v>
      </c>
      <c r="AL26" s="56"/>
      <c r="AM26" s="57">
        <f t="shared" si="26"/>
        <v>0</v>
      </c>
      <c r="AN26" s="56"/>
      <c r="AO26" s="57">
        <f t="shared" si="27"/>
        <v>11.0005729833196</v>
      </c>
      <c r="AP26" s="56"/>
      <c r="AQ26" s="57">
        <f t="shared" si="28"/>
        <v>0</v>
      </c>
      <c r="AR26" s="56"/>
      <c r="AS26" s="57">
        <f t="shared" si="29"/>
        <v>2.0005729833196</v>
      </c>
      <c r="AT26" s="56"/>
      <c r="AU26" s="57">
        <f t="shared" si="30"/>
        <v>0</v>
      </c>
      <c r="AV26" s="58"/>
      <c r="AW26" s="57">
        <f t="shared" si="31"/>
        <v>0</v>
      </c>
      <c r="AX26" s="56"/>
      <c r="AY26" s="70">
        <f t="shared" si="32"/>
        <v>5.1538475157476167E-8</v>
      </c>
      <c r="AZ26" s="70">
        <f t="shared" si="33"/>
        <v>3.1588682468399581E-7</v>
      </c>
      <c r="BA26" s="70">
        <f t="shared" si="34"/>
        <v>4.0938465992219213E-7</v>
      </c>
      <c r="BB26" s="70">
        <f t="shared" si="35"/>
        <v>2.5091782382389663E-6</v>
      </c>
      <c r="BC26" s="70">
        <f t="shared" si="36"/>
        <v>4.0938465992219258E-6</v>
      </c>
      <c r="BD26" s="70">
        <f t="shared" si="37"/>
        <v>2.509178238238969E-5</v>
      </c>
    </row>
    <row r="27" spans="3:56" ht="15.75" thickBot="1" x14ac:dyDescent="0.3">
      <c r="C27" s="8"/>
      <c r="D27" s="15"/>
      <c r="E27" s="16"/>
      <c r="G27" s="15"/>
      <c r="H27" s="16"/>
      <c r="J27" s="15"/>
      <c r="K27" s="16"/>
      <c r="X27" s="52"/>
      <c r="Y27" s="52"/>
      <c r="Z27" s="52"/>
      <c r="AA27" s="57">
        <f t="shared" si="20"/>
        <v>0</v>
      </c>
      <c r="AB27" s="56"/>
      <c r="AC27" s="57">
        <f t="shared" si="21"/>
        <v>0</v>
      </c>
      <c r="AD27" s="56"/>
      <c r="AE27" s="57">
        <f t="shared" si="22"/>
        <v>0</v>
      </c>
      <c r="AF27" s="56"/>
      <c r="AG27" s="57">
        <f t="shared" si="23"/>
        <v>0</v>
      </c>
      <c r="AH27" s="56"/>
      <c r="AI27" s="57">
        <f t="shared" si="24"/>
        <v>0</v>
      </c>
      <c r="AJ27" s="56"/>
      <c r="AK27" s="57">
        <f t="shared" si="25"/>
        <v>0</v>
      </c>
      <c r="AL27" s="56"/>
      <c r="AM27" s="57">
        <f t="shared" si="26"/>
        <v>0</v>
      </c>
      <c r="AN27" s="56"/>
      <c r="AO27" s="57">
        <f t="shared" si="27"/>
        <v>0</v>
      </c>
      <c r="AP27" s="56"/>
      <c r="AQ27" s="57">
        <f t="shared" si="28"/>
        <v>0</v>
      </c>
      <c r="AR27" s="56"/>
      <c r="AS27" s="57">
        <f t="shared" si="29"/>
        <v>0</v>
      </c>
      <c r="AT27" s="56"/>
      <c r="AU27" s="57">
        <f t="shared" si="30"/>
        <v>0</v>
      </c>
      <c r="AV27" s="58"/>
      <c r="AW27" s="57">
        <f t="shared" si="31"/>
        <v>0</v>
      </c>
      <c r="AX27" s="56"/>
      <c r="AY27" s="70">
        <f t="shared" si="32"/>
        <v>4.5499349930672135E-8</v>
      </c>
      <c r="AZ27" s="70">
        <f t="shared" si="33"/>
        <v>1.4299662741079898E-7</v>
      </c>
      <c r="BA27" s="70">
        <f t="shared" si="34"/>
        <v>3.6141418311533231E-7</v>
      </c>
      <c r="BB27" s="70">
        <f t="shared" si="35"/>
        <v>1.1358625862274597E-6</v>
      </c>
      <c r="BC27" s="70">
        <f t="shared" si="36"/>
        <v>3.6141418311533143E-6</v>
      </c>
      <c r="BD27" s="70">
        <f t="shared" si="37"/>
        <v>1.1358625862274612E-5</v>
      </c>
    </row>
    <row r="28" spans="3:56" ht="31.5" thickTop="1" thickBot="1" x14ac:dyDescent="0.3">
      <c r="C28" s="7" t="s">
        <v>14</v>
      </c>
      <c r="D28" s="9">
        <v>2.1</v>
      </c>
      <c r="E28" s="10"/>
      <c r="G28" s="9">
        <v>2.2999999999999998</v>
      </c>
      <c r="H28" s="10"/>
      <c r="J28" s="9">
        <v>1.9</v>
      </c>
      <c r="K28" s="10"/>
      <c r="X28" s="51" t="s">
        <v>35</v>
      </c>
      <c r="Y28" s="52">
        <v>1</v>
      </c>
      <c r="Z28" s="52">
        <v>44</v>
      </c>
      <c r="AA28" s="57">
        <f t="shared" si="20"/>
        <v>36.376766058070757</v>
      </c>
      <c r="AB28" s="56"/>
      <c r="AC28" s="57">
        <f t="shared" si="21"/>
        <v>43.232740076600024</v>
      </c>
      <c r="AD28" s="56"/>
      <c r="AE28" s="57">
        <f t="shared" si="22"/>
        <v>27.376766058070757</v>
      </c>
      <c r="AF28" s="56"/>
      <c r="AG28" s="57">
        <f t="shared" si="23"/>
        <v>42.0005729833196</v>
      </c>
      <c r="AH28" s="56"/>
      <c r="AI28" s="57">
        <f t="shared" si="24"/>
        <v>17.376766058070757</v>
      </c>
      <c r="AJ28" s="56"/>
      <c r="AK28" s="57">
        <f t="shared" si="25"/>
        <v>32.0005729833196</v>
      </c>
      <c r="AL28" s="56"/>
      <c r="AM28" s="57">
        <f t="shared" si="26"/>
        <v>26.376766058070757</v>
      </c>
      <c r="AN28" s="56"/>
      <c r="AO28" s="57">
        <f t="shared" si="27"/>
        <v>41.0005729833196</v>
      </c>
      <c r="AP28" s="56"/>
      <c r="AQ28" s="57">
        <f t="shared" si="28"/>
        <v>17.376766058070757</v>
      </c>
      <c r="AR28" s="56"/>
      <c r="AS28" s="57">
        <f t="shared" si="29"/>
        <v>32.0005729833196</v>
      </c>
      <c r="AT28" s="56"/>
      <c r="AU28" s="57">
        <f t="shared" si="30"/>
        <v>7.376766058070757</v>
      </c>
      <c r="AV28" s="58"/>
      <c r="AW28" s="57">
        <f t="shared" si="31"/>
        <v>22.0005729833196</v>
      </c>
      <c r="AX28" s="56"/>
      <c r="AY28" s="70">
        <f t="shared" si="32"/>
        <v>1.7730123559160662E-10</v>
      </c>
      <c r="AZ28" s="70">
        <f t="shared" si="33"/>
        <v>6.0904752265132014E-10</v>
      </c>
      <c r="BA28" s="70">
        <f t="shared" si="34"/>
        <v>1.4083537748191512E-9</v>
      </c>
      <c r="BB28" s="70">
        <f t="shared" si="35"/>
        <v>4.8378364353081929E-9</v>
      </c>
      <c r="BC28" s="70">
        <f t="shared" si="36"/>
        <v>1.408353774819153E-8</v>
      </c>
      <c r="BD28" s="70">
        <f t="shared" si="37"/>
        <v>4.8378364353081815E-8</v>
      </c>
    </row>
    <row r="29" spans="3:56" ht="30.75" thickBot="1" x14ac:dyDescent="0.3">
      <c r="C29" s="8"/>
      <c r="D29" s="11"/>
      <c r="E29" s="12"/>
      <c r="G29" s="11"/>
      <c r="H29" s="12"/>
      <c r="J29" s="11"/>
      <c r="K29" s="12"/>
      <c r="X29" s="51" t="s">
        <v>35</v>
      </c>
      <c r="Y29" s="52">
        <v>4</v>
      </c>
      <c r="Z29" s="52">
        <v>19</v>
      </c>
      <c r="AA29" s="57">
        <f t="shared" si="20"/>
        <v>11.376766058070757</v>
      </c>
      <c r="AB29" s="56"/>
      <c r="AC29" s="57">
        <f t="shared" si="21"/>
        <v>18.232740076600024</v>
      </c>
      <c r="AD29" s="56"/>
      <c r="AE29" s="57">
        <f t="shared" si="22"/>
        <v>2.376766058070757</v>
      </c>
      <c r="AF29" s="56"/>
      <c r="AG29" s="57">
        <f t="shared" si="23"/>
        <v>17.0005729833196</v>
      </c>
      <c r="AH29" s="56"/>
      <c r="AI29" s="57">
        <f t="shared" si="24"/>
        <v>0</v>
      </c>
      <c r="AJ29" s="56"/>
      <c r="AK29" s="57">
        <f t="shared" si="25"/>
        <v>7.0005729833196</v>
      </c>
      <c r="AL29" s="56"/>
      <c r="AM29" s="57">
        <f t="shared" si="26"/>
        <v>1.376766058070757</v>
      </c>
      <c r="AN29" s="56"/>
      <c r="AO29" s="57">
        <f t="shared" si="27"/>
        <v>16.0005729833196</v>
      </c>
      <c r="AP29" s="56"/>
      <c r="AQ29" s="57">
        <f t="shared" si="28"/>
        <v>0</v>
      </c>
      <c r="AR29" s="56"/>
      <c r="AS29" s="57">
        <f t="shared" si="29"/>
        <v>7.0005729833196</v>
      </c>
      <c r="AT29" s="56"/>
      <c r="AU29" s="57">
        <f t="shared" si="30"/>
        <v>0</v>
      </c>
      <c r="AV29" s="58"/>
      <c r="AW29" s="57">
        <f t="shared" si="31"/>
        <v>0</v>
      </c>
      <c r="AX29" s="56"/>
      <c r="AY29" s="70">
        <f t="shared" si="32"/>
        <v>1.9388882934303987E-10</v>
      </c>
      <c r="AZ29" s="70">
        <f t="shared" si="33"/>
        <v>2.7423636096984295E-10</v>
      </c>
      <c r="BA29" s="70">
        <f t="shared" si="34"/>
        <v>1.5401137154481465E-9</v>
      </c>
      <c r="BB29" s="70">
        <f t="shared" si="35"/>
        <v>2.1783368450638584E-9</v>
      </c>
      <c r="BC29" s="70">
        <f t="shared" si="36"/>
        <v>1.5401137154481483E-8</v>
      </c>
      <c r="BD29" s="70">
        <f t="shared" si="37"/>
        <v>2.178336845063861E-8</v>
      </c>
    </row>
    <row r="30" spans="3:56" ht="15.75" thickTop="1" x14ac:dyDescent="0.25">
      <c r="C30" s="7" t="s">
        <v>21</v>
      </c>
      <c r="D30" s="9">
        <v>2.9</v>
      </c>
      <c r="E30" s="10"/>
      <c r="G30" s="9">
        <v>4.0999999999999996</v>
      </c>
      <c r="H30" s="10"/>
      <c r="J30" s="9">
        <v>8</v>
      </c>
      <c r="K30" s="10"/>
      <c r="AY30" s="70">
        <f t="shared" si="32"/>
        <v>1.6348229385447042E-10</v>
      </c>
      <c r="AZ30" s="70">
        <f t="shared" si="33"/>
        <v>1.0182815860479379E-10</v>
      </c>
      <c r="BA30" s="70">
        <f t="shared" si="34"/>
        <v>1.29858601886098E-9</v>
      </c>
      <c r="BB30" s="70">
        <f t="shared" si="35"/>
        <v>8.0884981469770173E-10</v>
      </c>
      <c r="BC30" s="70">
        <f t="shared" si="36"/>
        <v>1.2985860188609814E-8</v>
      </c>
      <c r="BD30" s="70">
        <f t="shared" si="37"/>
        <v>8.0884981469770256E-9</v>
      </c>
    </row>
    <row r="31" spans="3:56" ht="15.75" thickBot="1" x14ac:dyDescent="0.3">
      <c r="C31" s="8"/>
      <c r="D31" s="11"/>
      <c r="E31" s="12"/>
      <c r="G31" s="11"/>
      <c r="H31" s="12"/>
      <c r="J31" s="11"/>
      <c r="K31" s="12"/>
      <c r="AY31" s="67" t="s">
        <v>41</v>
      </c>
      <c r="AZ31" s="68" t="s">
        <v>41</v>
      </c>
      <c r="BA31" s="53" t="s">
        <v>41</v>
      </c>
      <c r="BB31" s="53" t="s">
        <v>41</v>
      </c>
      <c r="BC31" s="53" t="s">
        <v>41</v>
      </c>
      <c r="BD31" s="53" t="s">
        <v>41</v>
      </c>
    </row>
    <row r="32" spans="3:56" x14ac:dyDescent="0.25">
      <c r="AY32" s="67" t="s">
        <v>40</v>
      </c>
      <c r="AZ32" s="62" t="s">
        <v>40</v>
      </c>
      <c r="BA32" s="62" t="s">
        <v>40</v>
      </c>
      <c r="BB32" s="62" t="s">
        <v>40</v>
      </c>
      <c r="BC32" s="62" t="s">
        <v>40</v>
      </c>
      <c r="BD32" s="62" t="s">
        <v>40</v>
      </c>
    </row>
    <row r="33" spans="51:52" x14ac:dyDescent="0.25">
      <c r="AY33" s="65"/>
      <c r="AZ33" s="66"/>
    </row>
  </sheetData>
  <mergeCells count="384">
    <mergeCell ref="BB3:BE3"/>
    <mergeCell ref="BF3:BI3"/>
    <mergeCell ref="BJ3:BM3"/>
    <mergeCell ref="AY20:AZ20"/>
    <mergeCell ref="BA20:BB20"/>
    <mergeCell ref="BC20:BD20"/>
    <mergeCell ref="AU27:AV27"/>
    <mergeCell ref="AW27:AX27"/>
    <mergeCell ref="AU28:AV28"/>
    <mergeCell ref="AW28:AX28"/>
    <mergeCell ref="AU29:AV29"/>
    <mergeCell ref="AW29:AX29"/>
    <mergeCell ref="AA20:AB20"/>
    <mergeCell ref="AC20:AD20"/>
    <mergeCell ref="AE20:AF20"/>
    <mergeCell ref="AG20:AH20"/>
    <mergeCell ref="AI20:AJ20"/>
    <mergeCell ref="AK20:AL20"/>
    <mergeCell ref="AM20:AN20"/>
    <mergeCell ref="AO20:AP20"/>
    <mergeCell ref="AQ20:AR20"/>
    <mergeCell ref="AS20:AT20"/>
    <mergeCell ref="AU20:AV20"/>
    <mergeCell ref="AW20:AX20"/>
    <mergeCell ref="AU23:AV23"/>
    <mergeCell ref="AU22:AV22"/>
    <mergeCell ref="AW22:AX22"/>
    <mergeCell ref="AW23:AX23"/>
    <mergeCell ref="AU24:AV24"/>
    <mergeCell ref="AW24:AX24"/>
    <mergeCell ref="AU25:AV25"/>
    <mergeCell ref="AW25:AX25"/>
    <mergeCell ref="AU26:AV26"/>
    <mergeCell ref="AW26:AX26"/>
    <mergeCell ref="AM27:AN27"/>
    <mergeCell ref="AO27:AP27"/>
    <mergeCell ref="AM28:AN28"/>
    <mergeCell ref="AO28:AP28"/>
    <mergeCell ref="AM29:AN29"/>
    <mergeCell ref="AO29:AP29"/>
    <mergeCell ref="AQ22:AR22"/>
    <mergeCell ref="AS22:AT22"/>
    <mergeCell ref="AQ23:AR23"/>
    <mergeCell ref="AS23:AT23"/>
    <mergeCell ref="AQ24:AR24"/>
    <mergeCell ref="AS24:AT24"/>
    <mergeCell ref="AQ25:AR25"/>
    <mergeCell ref="AS25:AT25"/>
    <mergeCell ref="AQ26:AR26"/>
    <mergeCell ref="AS26:AT26"/>
    <mergeCell ref="AQ27:AR27"/>
    <mergeCell ref="AS27:AT27"/>
    <mergeCell ref="AQ28:AR28"/>
    <mergeCell ref="AS28:AT28"/>
    <mergeCell ref="AQ29:AR29"/>
    <mergeCell ref="AS29:AT29"/>
    <mergeCell ref="AM22:AN22"/>
    <mergeCell ref="AO22:AP22"/>
    <mergeCell ref="AM23:AN23"/>
    <mergeCell ref="AO23:AP23"/>
    <mergeCell ref="AM24:AN24"/>
    <mergeCell ref="AO24:AP24"/>
    <mergeCell ref="AM25:AN25"/>
    <mergeCell ref="AO25:AP25"/>
    <mergeCell ref="AM26:AN26"/>
    <mergeCell ref="AO26:AP26"/>
    <mergeCell ref="AK25:AL25"/>
    <mergeCell ref="AI26:AJ26"/>
    <mergeCell ref="AK26:AL26"/>
    <mergeCell ref="AI27:AJ27"/>
    <mergeCell ref="AK27:AL27"/>
    <mergeCell ref="AI28:AJ28"/>
    <mergeCell ref="AK28:AL28"/>
    <mergeCell ref="AI29:AJ29"/>
    <mergeCell ref="AK29:AL29"/>
    <mergeCell ref="AM21:AP21"/>
    <mergeCell ref="AQ21:AT21"/>
    <mergeCell ref="AU21:AX21"/>
    <mergeCell ref="AA22:AB22"/>
    <mergeCell ref="AA23:AB23"/>
    <mergeCell ref="AA24:AB24"/>
    <mergeCell ref="AA25:AB25"/>
    <mergeCell ref="AC25:AD25"/>
    <mergeCell ref="AA26:AB26"/>
    <mergeCell ref="AC26:AD26"/>
    <mergeCell ref="AE22:AF22"/>
    <mergeCell ref="AG22:AH22"/>
    <mergeCell ref="AE23:AF23"/>
    <mergeCell ref="AG23:AH23"/>
    <mergeCell ref="AE24:AF24"/>
    <mergeCell ref="AG24:AH24"/>
    <mergeCell ref="AE25:AF25"/>
    <mergeCell ref="AG25:AH25"/>
    <mergeCell ref="AE26:AF26"/>
    <mergeCell ref="AG26:AH26"/>
    <mergeCell ref="AI22:AJ22"/>
    <mergeCell ref="AK22:AL22"/>
    <mergeCell ref="AI23:AJ23"/>
    <mergeCell ref="AK23:AL23"/>
    <mergeCell ref="AC22:AD22"/>
    <mergeCell ref="AC23:AD23"/>
    <mergeCell ref="AC24:AD24"/>
    <mergeCell ref="AA21:AD21"/>
    <mergeCell ref="AE21:AH21"/>
    <mergeCell ref="AI21:AL21"/>
    <mergeCell ref="AA27:AB27"/>
    <mergeCell ref="AC27:AD27"/>
    <mergeCell ref="AA28:AB28"/>
    <mergeCell ref="AC28:AD28"/>
    <mergeCell ref="AA29:AB29"/>
    <mergeCell ref="AC29:AD29"/>
    <mergeCell ref="AE27:AF27"/>
    <mergeCell ref="AG27:AH27"/>
    <mergeCell ref="AE28:AF28"/>
    <mergeCell ref="AG28:AH28"/>
    <mergeCell ref="AE29:AF29"/>
    <mergeCell ref="AG29:AH29"/>
    <mergeCell ref="AI24:AJ24"/>
    <mergeCell ref="AK24:AL24"/>
    <mergeCell ref="AI25:AJ25"/>
    <mergeCell ref="AA3:AL3"/>
    <mergeCell ref="AM3:AX3"/>
    <mergeCell ref="G4:J5"/>
    <mergeCell ref="K4:N5"/>
    <mergeCell ref="O4:R5"/>
    <mergeCell ref="S4:V5"/>
    <mergeCell ref="W4:Z5"/>
    <mergeCell ref="AA4:AD5"/>
    <mergeCell ref="AE4:AH5"/>
    <mergeCell ref="AI4:AL5"/>
    <mergeCell ref="AM4:AP5"/>
    <mergeCell ref="AQ4:AT5"/>
    <mergeCell ref="AU4:AX5"/>
    <mergeCell ref="D6:F7"/>
    <mergeCell ref="G6:H7"/>
    <mergeCell ref="I6:J7"/>
    <mergeCell ref="K6:L7"/>
    <mergeCell ref="M6:N7"/>
    <mergeCell ref="O6:P7"/>
    <mergeCell ref="Q6:R7"/>
    <mergeCell ref="AQ6:AR7"/>
    <mergeCell ref="AS6:AT7"/>
    <mergeCell ref="AU6:AV7"/>
    <mergeCell ref="AW6:AX7"/>
    <mergeCell ref="D8:E10"/>
    <mergeCell ref="G8:H8"/>
    <mergeCell ref="I8:J8"/>
    <mergeCell ref="K8:L8"/>
    <mergeCell ref="M8:N8"/>
    <mergeCell ref="O8:P8"/>
    <mergeCell ref="AE6:AF7"/>
    <mergeCell ref="AG6:AH7"/>
    <mergeCell ref="AI6:AJ7"/>
    <mergeCell ref="AK6:AL7"/>
    <mergeCell ref="AM6:AN7"/>
    <mergeCell ref="AO6:AP7"/>
    <mergeCell ref="S6:T7"/>
    <mergeCell ref="U6:V7"/>
    <mergeCell ref="W6:X7"/>
    <mergeCell ref="Y6:Z7"/>
    <mergeCell ref="AA6:AB7"/>
    <mergeCell ref="AC6:AD7"/>
    <mergeCell ref="AO8:AP8"/>
    <mergeCell ref="AQ8:AR8"/>
    <mergeCell ref="AS8:AT8"/>
    <mergeCell ref="AU8:AV8"/>
    <mergeCell ref="AW8:AX8"/>
    <mergeCell ref="G9:H9"/>
    <mergeCell ref="I9:J9"/>
    <mergeCell ref="K9:L9"/>
    <mergeCell ref="M9:N9"/>
    <mergeCell ref="O9:P9"/>
    <mergeCell ref="AC8:AD8"/>
    <mergeCell ref="AE8:AF8"/>
    <mergeCell ref="AG8:AH8"/>
    <mergeCell ref="AI8:AJ8"/>
    <mergeCell ref="AK8:AL8"/>
    <mergeCell ref="AM8:AN8"/>
    <mergeCell ref="Q8:R8"/>
    <mergeCell ref="S8:T8"/>
    <mergeCell ref="U8:V8"/>
    <mergeCell ref="W8:X8"/>
    <mergeCell ref="Y8:Z8"/>
    <mergeCell ref="AA8:AB8"/>
    <mergeCell ref="AO9:AP9"/>
    <mergeCell ref="AQ9:AR9"/>
    <mergeCell ref="AS9:AT9"/>
    <mergeCell ref="AU9:AV9"/>
    <mergeCell ref="AW9:AX9"/>
    <mergeCell ref="AK9:AL9"/>
    <mergeCell ref="G10:H10"/>
    <mergeCell ref="I10:J10"/>
    <mergeCell ref="K10:L10"/>
    <mergeCell ref="M10:N10"/>
    <mergeCell ref="O10:P10"/>
    <mergeCell ref="AC9:AD9"/>
    <mergeCell ref="AE9:AF9"/>
    <mergeCell ref="AG9:AH9"/>
    <mergeCell ref="AI9:AJ9"/>
    <mergeCell ref="AM9:AN9"/>
    <mergeCell ref="Q9:R9"/>
    <mergeCell ref="S9:T9"/>
    <mergeCell ref="U9:V9"/>
    <mergeCell ref="W9:X9"/>
    <mergeCell ref="Y9:Z9"/>
    <mergeCell ref="AA9:AB9"/>
    <mergeCell ref="AO10:AP10"/>
    <mergeCell ref="AQ10:AR10"/>
    <mergeCell ref="AS10:AT10"/>
    <mergeCell ref="AU10:AV10"/>
    <mergeCell ref="AW10:AX10"/>
    <mergeCell ref="D11:E13"/>
    <mergeCell ref="G11:H11"/>
    <mergeCell ref="I11:J11"/>
    <mergeCell ref="K11:L11"/>
    <mergeCell ref="M11:N11"/>
    <mergeCell ref="AC10:AD10"/>
    <mergeCell ref="AE10:AF10"/>
    <mergeCell ref="AG10:AH10"/>
    <mergeCell ref="AI10:AJ10"/>
    <mergeCell ref="AK10:AL10"/>
    <mergeCell ref="AM10:AN10"/>
    <mergeCell ref="Q10:R10"/>
    <mergeCell ref="S10:T10"/>
    <mergeCell ref="U10:V10"/>
    <mergeCell ref="W10:X10"/>
    <mergeCell ref="Y10:Z10"/>
    <mergeCell ref="AA10:AB10"/>
    <mergeCell ref="AW11:AX11"/>
    <mergeCell ref="AA11:AB11"/>
    <mergeCell ref="AC11:AD11"/>
    <mergeCell ref="AE11:AF11"/>
    <mergeCell ref="K12:L12"/>
    <mergeCell ref="M12:N12"/>
    <mergeCell ref="O12:P12"/>
    <mergeCell ref="Q12:R12"/>
    <mergeCell ref="AM11:AN11"/>
    <mergeCell ref="AO11:AP11"/>
    <mergeCell ref="AQ11:AR11"/>
    <mergeCell ref="AS11:AT11"/>
    <mergeCell ref="AU11:AV11"/>
    <mergeCell ref="AQ12:AR12"/>
    <mergeCell ref="AS12:AT12"/>
    <mergeCell ref="AU12:AV12"/>
    <mergeCell ref="AG11:AH11"/>
    <mergeCell ref="AI11:AJ11"/>
    <mergeCell ref="AK11:AL11"/>
    <mergeCell ref="O11:P11"/>
    <mergeCell ref="Q11:R11"/>
    <mergeCell ref="S11:T11"/>
    <mergeCell ref="U11:V11"/>
    <mergeCell ref="W11:X11"/>
    <mergeCell ref="Y11:Z11"/>
    <mergeCell ref="AW12:AX12"/>
    <mergeCell ref="G13:H13"/>
    <mergeCell ref="I13:J13"/>
    <mergeCell ref="K13:L13"/>
    <mergeCell ref="M13:N13"/>
    <mergeCell ref="O13:P13"/>
    <mergeCell ref="Q13:R13"/>
    <mergeCell ref="AE12:AF12"/>
    <mergeCell ref="AG12:AH12"/>
    <mergeCell ref="AI12:AJ12"/>
    <mergeCell ref="AK12:AL12"/>
    <mergeCell ref="AM12:AN12"/>
    <mergeCell ref="AO12:AP12"/>
    <mergeCell ref="S12:T12"/>
    <mergeCell ref="U12:V12"/>
    <mergeCell ref="W12:X12"/>
    <mergeCell ref="Y12:Z12"/>
    <mergeCell ref="AA12:AB12"/>
    <mergeCell ref="AC12:AD12"/>
    <mergeCell ref="G12:H12"/>
    <mergeCell ref="I12:J12"/>
    <mergeCell ref="AQ13:AR13"/>
    <mergeCell ref="AS13:AT13"/>
    <mergeCell ref="AU13:AV13"/>
    <mergeCell ref="AW13:AX13"/>
    <mergeCell ref="D14:E16"/>
    <mergeCell ref="G14:H14"/>
    <mergeCell ref="I14:J14"/>
    <mergeCell ref="K14:L14"/>
    <mergeCell ref="M14:N14"/>
    <mergeCell ref="O14:P14"/>
    <mergeCell ref="AE13:AF13"/>
    <mergeCell ref="AG13:AH13"/>
    <mergeCell ref="AI13:AJ13"/>
    <mergeCell ref="AK13:AL13"/>
    <mergeCell ref="AM13:AN13"/>
    <mergeCell ref="AO13:AP13"/>
    <mergeCell ref="S13:T13"/>
    <mergeCell ref="U13:V13"/>
    <mergeCell ref="W13:X13"/>
    <mergeCell ref="Y13:Z13"/>
    <mergeCell ref="AA13:AB13"/>
    <mergeCell ref="AC13:AD13"/>
    <mergeCell ref="AO14:AP14"/>
    <mergeCell ref="AQ14:AR14"/>
    <mergeCell ref="AS14:AT14"/>
    <mergeCell ref="AU14:AV14"/>
    <mergeCell ref="AW14:AX14"/>
    <mergeCell ref="G15:H15"/>
    <mergeCell ref="I15:J15"/>
    <mergeCell ref="K15:L15"/>
    <mergeCell ref="M15:N15"/>
    <mergeCell ref="O15:P15"/>
    <mergeCell ref="AC14:AD14"/>
    <mergeCell ref="AE14:AF14"/>
    <mergeCell ref="AG14:AH14"/>
    <mergeCell ref="AI14:AJ14"/>
    <mergeCell ref="AK14:AL14"/>
    <mergeCell ref="AM14:AN14"/>
    <mergeCell ref="Q14:R14"/>
    <mergeCell ref="S14:T14"/>
    <mergeCell ref="U14:V14"/>
    <mergeCell ref="W14:X14"/>
    <mergeCell ref="Y14:Z14"/>
    <mergeCell ref="AA14:AB14"/>
    <mergeCell ref="G16:H16"/>
    <mergeCell ref="I16:J16"/>
    <mergeCell ref="K16:L16"/>
    <mergeCell ref="M16:N16"/>
    <mergeCell ref="O16:P16"/>
    <mergeCell ref="AC15:AD15"/>
    <mergeCell ref="AE15:AF15"/>
    <mergeCell ref="AG15:AH15"/>
    <mergeCell ref="AI15:AJ15"/>
    <mergeCell ref="Q15:R15"/>
    <mergeCell ref="S15:T15"/>
    <mergeCell ref="U15:V15"/>
    <mergeCell ref="W15:X15"/>
    <mergeCell ref="Y15:Z15"/>
    <mergeCell ref="AA15:AB15"/>
    <mergeCell ref="U16:V16"/>
    <mergeCell ref="W16:X16"/>
    <mergeCell ref="Y16:Z16"/>
    <mergeCell ref="AA16:AB16"/>
    <mergeCell ref="AO15:AP15"/>
    <mergeCell ref="AQ15:AR15"/>
    <mergeCell ref="AS15:AT15"/>
    <mergeCell ref="AU15:AV15"/>
    <mergeCell ref="AW15:AX15"/>
    <mergeCell ref="AK15:AL15"/>
    <mergeCell ref="AM15:AN15"/>
    <mergeCell ref="G18:H18"/>
    <mergeCell ref="I18:J18"/>
    <mergeCell ref="K18:N18"/>
    <mergeCell ref="O18:Z18"/>
    <mergeCell ref="AA18:AX18"/>
    <mergeCell ref="D21:E23"/>
    <mergeCell ref="G21:H23"/>
    <mergeCell ref="J21:K23"/>
    <mergeCell ref="AO16:AP16"/>
    <mergeCell ref="AQ16:AR16"/>
    <mergeCell ref="AS16:AT16"/>
    <mergeCell ref="AU16:AV16"/>
    <mergeCell ref="AW16:AX16"/>
    <mergeCell ref="G17:N17"/>
    <mergeCell ref="O17:Z17"/>
    <mergeCell ref="AA17:AX17"/>
    <mergeCell ref="AC16:AD16"/>
    <mergeCell ref="AE16:AF16"/>
    <mergeCell ref="AG16:AH16"/>
    <mergeCell ref="AI16:AJ16"/>
    <mergeCell ref="AK16:AL16"/>
    <mergeCell ref="AM16:AN16"/>
    <mergeCell ref="Q16:R16"/>
    <mergeCell ref="S16:T16"/>
    <mergeCell ref="C28:C29"/>
    <mergeCell ref="D28:E29"/>
    <mergeCell ref="G28:H29"/>
    <mergeCell ref="J28:K29"/>
    <mergeCell ref="C30:C31"/>
    <mergeCell ref="D30:E31"/>
    <mergeCell ref="G30:H31"/>
    <mergeCell ref="J30:K31"/>
    <mergeCell ref="C24:C25"/>
    <mergeCell ref="D24:E25"/>
    <mergeCell ref="G24:H25"/>
    <mergeCell ref="J24:K25"/>
    <mergeCell ref="C26:C27"/>
    <mergeCell ref="D26:E27"/>
    <mergeCell ref="G26:H27"/>
    <mergeCell ref="J26:K27"/>
  </mergeCells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13F351-C87C-46FA-ABE8-0017939C7B5C}">
  <dimension ref="B3:AY31"/>
  <sheetViews>
    <sheetView topLeftCell="L1" zoomScale="83" zoomScaleNormal="70" workbookViewId="0">
      <selection activeCell="AC12" sqref="AC12:AD12"/>
    </sheetView>
  </sheetViews>
  <sheetFormatPr defaultRowHeight="15" x14ac:dyDescent="0.25"/>
  <cols>
    <col min="3" max="3" width="9.140625" customWidth="1"/>
    <col min="6" max="6" width="9" customWidth="1"/>
    <col min="7" max="7" width="19" customWidth="1"/>
    <col min="8" max="8" width="17.28515625" customWidth="1"/>
    <col min="10" max="10" width="41" customWidth="1"/>
  </cols>
  <sheetData>
    <row r="3" spans="2:50" ht="15.75" thickBot="1" x14ac:dyDescent="0.3">
      <c r="AA3" s="42" t="s">
        <v>26</v>
      </c>
      <c r="AB3" s="42"/>
      <c r="AC3" s="42"/>
      <c r="AD3" s="42"/>
      <c r="AE3" s="42"/>
      <c r="AF3" s="42"/>
      <c r="AG3" s="42"/>
      <c r="AH3" s="42"/>
      <c r="AI3" s="42"/>
      <c r="AJ3" s="42"/>
      <c r="AK3" s="42"/>
      <c r="AL3" s="42"/>
      <c r="AM3" s="42" t="s">
        <v>27</v>
      </c>
      <c r="AN3" s="42"/>
      <c r="AO3" s="42"/>
      <c r="AP3" s="42"/>
      <c r="AQ3" s="42"/>
      <c r="AR3" s="42"/>
      <c r="AS3" s="42"/>
      <c r="AT3" s="42"/>
      <c r="AU3" s="42"/>
      <c r="AV3" s="42"/>
      <c r="AW3" s="42"/>
      <c r="AX3" s="42"/>
    </row>
    <row r="4" spans="2:50" ht="16.5" thickTop="1" thickBot="1" x14ac:dyDescent="0.3">
      <c r="G4" s="43" t="s">
        <v>1</v>
      </c>
      <c r="H4" s="43"/>
      <c r="I4" s="43"/>
      <c r="J4" s="43"/>
      <c r="K4" s="43" t="s">
        <v>2</v>
      </c>
      <c r="L4" s="43"/>
      <c r="M4" s="43"/>
      <c r="N4" s="43"/>
      <c r="O4" s="44" t="s">
        <v>17</v>
      </c>
      <c r="P4" s="44"/>
      <c r="Q4" s="44"/>
      <c r="R4" s="44"/>
      <c r="S4" s="44" t="s">
        <v>18</v>
      </c>
      <c r="T4" s="44"/>
      <c r="U4" s="44"/>
      <c r="V4" s="44"/>
      <c r="W4" s="44" t="s">
        <v>19</v>
      </c>
      <c r="X4" s="44"/>
      <c r="Y4" s="44"/>
      <c r="Z4" s="44"/>
      <c r="AA4" s="45" t="s">
        <v>23</v>
      </c>
      <c r="AB4" s="45"/>
      <c r="AC4" s="45"/>
      <c r="AD4" s="45"/>
      <c r="AE4" s="45" t="s">
        <v>24</v>
      </c>
      <c r="AF4" s="45"/>
      <c r="AG4" s="45"/>
      <c r="AH4" s="45"/>
      <c r="AI4" s="45" t="s">
        <v>25</v>
      </c>
      <c r="AJ4" s="45"/>
      <c r="AK4" s="45"/>
      <c r="AL4" s="45"/>
      <c r="AM4" s="45" t="s">
        <v>23</v>
      </c>
      <c r="AN4" s="45"/>
      <c r="AO4" s="45"/>
      <c r="AP4" s="45"/>
      <c r="AQ4" s="45" t="s">
        <v>24</v>
      </c>
      <c r="AR4" s="45"/>
      <c r="AS4" s="45"/>
      <c r="AT4" s="45"/>
      <c r="AU4" s="45" t="s">
        <v>25</v>
      </c>
      <c r="AV4" s="45"/>
      <c r="AW4" s="45"/>
      <c r="AX4" s="45"/>
    </row>
    <row r="5" spans="2:50" ht="16.5" thickTop="1" thickBot="1" x14ac:dyDescent="0.3">
      <c r="G5" s="43"/>
      <c r="H5" s="43"/>
      <c r="I5" s="43"/>
      <c r="J5" s="43"/>
      <c r="K5" s="43"/>
      <c r="L5" s="43"/>
      <c r="M5" s="43"/>
      <c r="N5" s="43"/>
      <c r="O5" s="44"/>
      <c r="P5" s="44"/>
      <c r="Q5" s="44"/>
      <c r="R5" s="44"/>
      <c r="S5" s="44"/>
      <c r="T5" s="44"/>
      <c r="U5" s="44"/>
      <c r="V5" s="44"/>
      <c r="W5" s="44"/>
      <c r="X5" s="44"/>
      <c r="Y5" s="44"/>
      <c r="Z5" s="44"/>
      <c r="AA5" s="45"/>
      <c r="AB5" s="45"/>
      <c r="AC5" s="45"/>
      <c r="AD5" s="45"/>
      <c r="AE5" s="45"/>
      <c r="AF5" s="45"/>
      <c r="AG5" s="45"/>
      <c r="AH5" s="45"/>
      <c r="AI5" s="45"/>
      <c r="AJ5" s="45"/>
      <c r="AK5" s="45"/>
      <c r="AL5" s="45"/>
      <c r="AM5" s="45"/>
      <c r="AN5" s="45"/>
      <c r="AO5" s="45"/>
      <c r="AP5" s="45"/>
      <c r="AQ5" s="45"/>
      <c r="AR5" s="45"/>
      <c r="AS5" s="45"/>
      <c r="AT5" s="45"/>
      <c r="AU5" s="45"/>
      <c r="AV5" s="45"/>
      <c r="AW5" s="45"/>
      <c r="AX5" s="45"/>
    </row>
    <row r="6" spans="2:50" ht="16.5" thickTop="1" thickBot="1" x14ac:dyDescent="0.3">
      <c r="D6" s="26" t="s">
        <v>0</v>
      </c>
      <c r="E6" s="26"/>
      <c r="F6" s="26"/>
      <c r="G6" s="41" t="s">
        <v>4</v>
      </c>
      <c r="H6" s="41"/>
      <c r="I6" s="26" t="s">
        <v>5</v>
      </c>
      <c r="J6" s="26"/>
      <c r="K6" s="41" t="s">
        <v>4</v>
      </c>
      <c r="L6" s="41"/>
      <c r="M6" s="26" t="s">
        <v>5</v>
      </c>
      <c r="N6" s="26"/>
      <c r="O6" s="41" t="s">
        <v>4</v>
      </c>
      <c r="P6" s="41"/>
      <c r="Q6" s="26" t="s">
        <v>5</v>
      </c>
      <c r="R6" s="26"/>
      <c r="S6" s="41" t="s">
        <v>4</v>
      </c>
      <c r="T6" s="41"/>
      <c r="U6" s="26" t="s">
        <v>5</v>
      </c>
      <c r="V6" s="26"/>
      <c r="W6" s="41" t="s">
        <v>4</v>
      </c>
      <c r="X6" s="41"/>
      <c r="Y6" s="26" t="s">
        <v>5</v>
      </c>
      <c r="Z6" s="26"/>
      <c r="AA6" s="41" t="s">
        <v>4</v>
      </c>
      <c r="AB6" s="41"/>
      <c r="AC6" s="26" t="s">
        <v>5</v>
      </c>
      <c r="AD6" s="26"/>
      <c r="AE6" s="41" t="s">
        <v>4</v>
      </c>
      <c r="AF6" s="41"/>
      <c r="AG6" s="26" t="s">
        <v>5</v>
      </c>
      <c r="AH6" s="26"/>
      <c r="AI6" s="41" t="s">
        <v>4</v>
      </c>
      <c r="AJ6" s="41"/>
      <c r="AK6" s="26" t="s">
        <v>5</v>
      </c>
      <c r="AL6" s="26"/>
      <c r="AM6" s="41" t="s">
        <v>4</v>
      </c>
      <c r="AN6" s="41"/>
      <c r="AO6" s="26" t="s">
        <v>5</v>
      </c>
      <c r="AP6" s="26"/>
      <c r="AQ6" s="41" t="s">
        <v>4</v>
      </c>
      <c r="AR6" s="41"/>
      <c r="AS6" s="26" t="s">
        <v>5</v>
      </c>
      <c r="AT6" s="26"/>
      <c r="AU6" s="41" t="s">
        <v>4</v>
      </c>
      <c r="AV6" s="41"/>
      <c r="AW6" s="26" t="s">
        <v>5</v>
      </c>
      <c r="AX6" s="26"/>
    </row>
    <row r="7" spans="2:50" ht="16.5" thickTop="1" thickBot="1" x14ac:dyDescent="0.3">
      <c r="D7" s="26"/>
      <c r="E7" s="26"/>
      <c r="F7" s="26"/>
      <c r="G7" s="26"/>
      <c r="H7" s="26"/>
      <c r="I7" s="26"/>
      <c r="J7" s="26"/>
      <c r="K7" s="26"/>
      <c r="L7" s="26"/>
      <c r="M7" s="26"/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  <c r="AQ7" s="26"/>
      <c r="AR7" s="26"/>
      <c r="AS7" s="26"/>
      <c r="AT7" s="26"/>
      <c r="AU7" s="26"/>
      <c r="AV7" s="26"/>
      <c r="AW7" s="26"/>
      <c r="AX7" s="26"/>
    </row>
    <row r="8" spans="2:50" ht="16.5" thickTop="1" thickBot="1" x14ac:dyDescent="0.3">
      <c r="D8" s="26" t="s">
        <v>11</v>
      </c>
      <c r="E8" s="26"/>
      <c r="F8" s="1">
        <v>145.83000000000001</v>
      </c>
      <c r="G8" s="32">
        <f>32.45+20*LOG10(800)+20*LOG10(F8/1000)</f>
        <v>73.788737255722964</v>
      </c>
      <c r="H8" s="40"/>
      <c r="I8" s="32">
        <f>10*$D$24*LOG10(F8)+$D$26+10*$D$28*LOG10(3.4) +$D$30</f>
        <v>88.737994773771447</v>
      </c>
      <c r="J8" s="40"/>
      <c r="K8" s="32">
        <f>G8</f>
        <v>73.788737255722964</v>
      </c>
      <c r="L8" s="40"/>
      <c r="M8" s="32">
        <f>I8</f>
        <v>88.737994773771447</v>
      </c>
      <c r="N8" s="40"/>
      <c r="O8" s="32">
        <f>24-K8</f>
        <v>-49.788737255722964</v>
      </c>
      <c r="P8" s="33"/>
      <c r="Q8" s="32">
        <f>24-M8</f>
        <v>-64.737994773771447</v>
      </c>
      <c r="R8" s="33"/>
      <c r="S8" s="32">
        <f>33-K8</f>
        <v>-40.788737255722964</v>
      </c>
      <c r="T8" s="33"/>
      <c r="U8" s="32">
        <f>33-M8</f>
        <v>-55.737994773771447</v>
      </c>
      <c r="V8" s="33"/>
      <c r="W8" s="32">
        <f>43-K8</f>
        <v>-30.788737255722964</v>
      </c>
      <c r="X8" s="33"/>
      <c r="Y8" s="32">
        <f>43-M8</f>
        <v>-45.737994773771447</v>
      </c>
      <c r="Z8" s="33"/>
      <c r="AA8" s="32">
        <f>O8+95</f>
        <v>45.211262744277036</v>
      </c>
      <c r="AB8" s="33"/>
      <c r="AC8" s="32">
        <f>Q8+95</f>
        <v>30.262005226228553</v>
      </c>
      <c r="AD8" s="33"/>
      <c r="AE8" s="32">
        <f>S8+95</f>
        <v>54.211262744277036</v>
      </c>
      <c r="AF8" s="33"/>
      <c r="AG8" s="32">
        <f>U8+95</f>
        <v>39.262005226228553</v>
      </c>
      <c r="AH8" s="33"/>
      <c r="AI8" s="32">
        <f>W8+95</f>
        <v>64.211262744277036</v>
      </c>
      <c r="AJ8" s="33"/>
      <c r="AK8" s="32">
        <f>Y8+95</f>
        <v>49.262005226228553</v>
      </c>
      <c r="AL8" s="33"/>
      <c r="AM8" s="32">
        <f>O8+105</f>
        <v>55.211262744277036</v>
      </c>
      <c r="AN8" s="33"/>
      <c r="AO8" s="32">
        <f>Q8+105</f>
        <v>40.262005226228553</v>
      </c>
      <c r="AP8" s="33"/>
      <c r="AQ8" s="32">
        <f>S8+105</f>
        <v>64.211262744277036</v>
      </c>
      <c r="AR8" s="33"/>
      <c r="AS8" s="32">
        <f>U8+105</f>
        <v>49.262005226228553</v>
      </c>
      <c r="AT8" s="33"/>
      <c r="AU8" s="32">
        <f>W8+105</f>
        <v>74.211262744277036</v>
      </c>
      <c r="AV8" s="33"/>
      <c r="AW8" s="32">
        <f>Y8+105</f>
        <v>59.262005226228553</v>
      </c>
      <c r="AX8" s="33"/>
    </row>
    <row r="9" spans="2:50" ht="16.5" thickTop="1" thickBot="1" x14ac:dyDescent="0.3">
      <c r="D9" s="26"/>
      <c r="E9" s="26"/>
      <c r="F9" s="1">
        <v>183.17</v>
      </c>
      <c r="G9" s="32">
        <f t="shared" ref="G9:G16" si="0">32.45+20*LOG10(800)+20*LOG10(F9/1000)</f>
        <v>75.768886648162749</v>
      </c>
      <c r="H9" s="40"/>
      <c r="I9" s="32">
        <f>10*$D$24*LOG10(F9)+$D$26+10*$D$28*LOG10(3.4) +$D$30</f>
        <v>90.718144166211232</v>
      </c>
      <c r="J9" s="40"/>
      <c r="K9" s="32">
        <f>G9</f>
        <v>75.768886648162749</v>
      </c>
      <c r="L9" s="40"/>
      <c r="M9" s="32">
        <f t="shared" ref="M9:M16" si="1">I9</f>
        <v>90.718144166211232</v>
      </c>
      <c r="N9" s="40"/>
      <c r="O9" s="32">
        <f t="shared" ref="O9:O16" si="2">24-K9</f>
        <v>-51.768886648162749</v>
      </c>
      <c r="P9" s="33"/>
      <c r="Q9" s="32">
        <f t="shared" ref="Q9:Q16" si="3">24-M9</f>
        <v>-66.718144166211232</v>
      </c>
      <c r="R9" s="33"/>
      <c r="S9" s="32">
        <f t="shared" ref="S9:S16" si="4">33-K9</f>
        <v>-42.768886648162749</v>
      </c>
      <c r="T9" s="33"/>
      <c r="U9" s="32">
        <f t="shared" ref="U9:U16" si="5">33-M9</f>
        <v>-57.718144166211232</v>
      </c>
      <c r="V9" s="33"/>
      <c r="W9" s="32">
        <f t="shared" ref="W9:W16" si="6">43-K9</f>
        <v>-32.768886648162749</v>
      </c>
      <c r="X9" s="33"/>
      <c r="Y9" s="32">
        <f t="shared" ref="Y9:Y16" si="7">43-M9</f>
        <v>-47.718144166211232</v>
      </c>
      <c r="Z9" s="33"/>
      <c r="AA9" s="32">
        <f t="shared" ref="AA9:AA16" si="8">O9+95</f>
        <v>43.231113351837251</v>
      </c>
      <c r="AB9" s="33"/>
      <c r="AC9" s="32">
        <f t="shared" ref="AC9:AC16" si="9">Q9+95</f>
        <v>28.281855833788768</v>
      </c>
      <c r="AD9" s="33"/>
      <c r="AE9" s="32">
        <f>S9+95</f>
        <v>52.231113351837251</v>
      </c>
      <c r="AF9" s="33"/>
      <c r="AG9" s="32">
        <f t="shared" ref="AG9:AG16" si="10">U9+95</f>
        <v>37.281855833788768</v>
      </c>
      <c r="AH9" s="33"/>
      <c r="AI9" s="32">
        <f t="shared" ref="AI9:AI16" si="11">W9+95</f>
        <v>62.231113351837251</v>
      </c>
      <c r="AJ9" s="33"/>
      <c r="AK9" s="32">
        <f t="shared" ref="AK9:AK16" si="12">Y9+95</f>
        <v>47.281855833788768</v>
      </c>
      <c r="AL9" s="33"/>
      <c r="AM9" s="32">
        <f t="shared" ref="AM9:AM16" si="13">O9+105</f>
        <v>53.231113351837251</v>
      </c>
      <c r="AN9" s="33"/>
      <c r="AO9" s="32">
        <f t="shared" ref="AO9:AO16" si="14">Q9+105</f>
        <v>38.281855833788768</v>
      </c>
      <c r="AP9" s="33"/>
      <c r="AQ9" s="32">
        <f t="shared" ref="AQ9:AQ16" si="15">S9+105</f>
        <v>62.231113351837251</v>
      </c>
      <c r="AR9" s="33"/>
      <c r="AS9" s="32">
        <f t="shared" ref="AS9:AS16" si="16">U9+105</f>
        <v>47.281855833788768</v>
      </c>
      <c r="AT9" s="33"/>
      <c r="AU9" s="32">
        <f t="shared" ref="AU9:AU16" si="17">W9+105</f>
        <v>72.231113351837251</v>
      </c>
      <c r="AV9" s="33"/>
      <c r="AW9" s="32">
        <f t="shared" ref="AW9:AW16" si="18">Y9+105</f>
        <v>57.281855833788768</v>
      </c>
      <c r="AX9" s="33"/>
    </row>
    <row r="10" spans="2:50" ht="16.5" thickTop="1" thickBot="1" x14ac:dyDescent="0.3">
      <c r="D10" s="26"/>
      <c r="E10" s="26"/>
      <c r="F10" s="1">
        <v>243.1</v>
      </c>
      <c r="G10" s="32">
        <f t="shared" si="0"/>
        <v>78.227498916705599</v>
      </c>
      <c r="H10" s="40"/>
      <c r="I10" s="32">
        <f>10*$D$24*LOG10(F10)+$D$26+10*$D$28*LOG10(3.4) +$D$30</f>
        <v>93.176756434754083</v>
      </c>
      <c r="J10" s="40"/>
      <c r="K10" s="32">
        <f>G10</f>
        <v>78.227498916705599</v>
      </c>
      <c r="L10" s="40"/>
      <c r="M10" s="32">
        <f t="shared" si="1"/>
        <v>93.176756434754083</v>
      </c>
      <c r="N10" s="40"/>
      <c r="O10" s="32">
        <f t="shared" si="2"/>
        <v>-54.227498916705599</v>
      </c>
      <c r="P10" s="33"/>
      <c r="Q10" s="32">
        <f t="shared" si="3"/>
        <v>-69.176756434754083</v>
      </c>
      <c r="R10" s="33"/>
      <c r="S10" s="32">
        <f t="shared" si="4"/>
        <v>-45.227498916705599</v>
      </c>
      <c r="T10" s="33"/>
      <c r="U10" s="32">
        <f t="shared" si="5"/>
        <v>-60.176756434754083</v>
      </c>
      <c r="V10" s="33"/>
      <c r="W10" s="32">
        <f t="shared" si="6"/>
        <v>-35.227498916705599</v>
      </c>
      <c r="X10" s="33"/>
      <c r="Y10" s="32">
        <f t="shared" si="7"/>
        <v>-50.176756434754083</v>
      </c>
      <c r="Z10" s="33"/>
      <c r="AA10" s="32">
        <f t="shared" si="8"/>
        <v>40.772501083294401</v>
      </c>
      <c r="AB10" s="33"/>
      <c r="AC10" s="32">
        <f t="shared" si="9"/>
        <v>25.823243565245917</v>
      </c>
      <c r="AD10" s="33"/>
      <c r="AE10" s="32">
        <f t="shared" ref="AE10:AE16" si="19">S10+95</f>
        <v>49.772501083294401</v>
      </c>
      <c r="AF10" s="33"/>
      <c r="AG10" s="32">
        <f t="shared" si="10"/>
        <v>34.823243565245917</v>
      </c>
      <c r="AH10" s="33"/>
      <c r="AI10" s="32">
        <f t="shared" si="11"/>
        <v>59.772501083294401</v>
      </c>
      <c r="AJ10" s="33"/>
      <c r="AK10" s="32">
        <f t="shared" si="12"/>
        <v>44.823243565245917</v>
      </c>
      <c r="AL10" s="33"/>
      <c r="AM10" s="32">
        <f t="shared" si="13"/>
        <v>50.772501083294401</v>
      </c>
      <c r="AN10" s="33"/>
      <c r="AO10" s="32">
        <f t="shared" si="14"/>
        <v>35.823243565245917</v>
      </c>
      <c r="AP10" s="33"/>
      <c r="AQ10" s="32">
        <f t="shared" si="15"/>
        <v>59.772501083294401</v>
      </c>
      <c r="AR10" s="33"/>
      <c r="AS10" s="32">
        <f t="shared" si="16"/>
        <v>44.823243565245917</v>
      </c>
      <c r="AT10" s="33"/>
      <c r="AU10" s="32">
        <f t="shared" si="17"/>
        <v>69.772501083294401</v>
      </c>
      <c r="AV10" s="33"/>
      <c r="AW10" s="32">
        <f t="shared" si="18"/>
        <v>54.823243565245917</v>
      </c>
      <c r="AX10" s="33"/>
    </row>
    <row r="11" spans="2:50" ht="16.5" thickTop="1" thickBot="1" x14ac:dyDescent="0.3">
      <c r="D11" s="26" t="s">
        <v>10</v>
      </c>
      <c r="E11" s="26"/>
      <c r="F11" s="1">
        <v>302.69</v>
      </c>
      <c r="G11" s="32">
        <f t="shared" si="0"/>
        <v>80.131761207100013</v>
      </c>
      <c r="H11" s="40"/>
      <c r="I11" s="32">
        <f>10*$G$24*LOG10(F8)+$G$26+10*$G$28*LOG10(3.4)+ $G$30</f>
        <v>88.311727614209588</v>
      </c>
      <c r="J11" s="40"/>
      <c r="K11" s="32">
        <f>G11+6</f>
        <v>86.131761207100013</v>
      </c>
      <c r="L11" s="40"/>
      <c r="M11" s="32">
        <f t="shared" si="1"/>
        <v>88.311727614209588</v>
      </c>
      <c r="N11" s="40"/>
      <c r="O11" s="32">
        <f t="shared" si="2"/>
        <v>-62.131761207100013</v>
      </c>
      <c r="P11" s="33"/>
      <c r="Q11" s="32">
        <f t="shared" si="3"/>
        <v>-64.311727614209588</v>
      </c>
      <c r="R11" s="33"/>
      <c r="S11" s="32">
        <f t="shared" si="4"/>
        <v>-53.131761207100013</v>
      </c>
      <c r="T11" s="33"/>
      <c r="U11" s="32">
        <f t="shared" si="5"/>
        <v>-55.311727614209588</v>
      </c>
      <c r="V11" s="33"/>
      <c r="W11" s="32">
        <f t="shared" si="6"/>
        <v>-43.131761207100013</v>
      </c>
      <c r="X11" s="33"/>
      <c r="Y11" s="32">
        <f t="shared" si="7"/>
        <v>-45.311727614209588</v>
      </c>
      <c r="Z11" s="33"/>
      <c r="AA11" s="32">
        <f t="shared" si="8"/>
        <v>32.868238792899987</v>
      </c>
      <c r="AB11" s="33"/>
      <c r="AC11" s="32">
        <f t="shared" si="9"/>
        <v>30.688272385790412</v>
      </c>
      <c r="AD11" s="33"/>
      <c r="AE11" s="32">
        <f t="shared" si="19"/>
        <v>41.868238792899987</v>
      </c>
      <c r="AF11" s="33"/>
      <c r="AG11" s="32">
        <f t="shared" si="10"/>
        <v>39.688272385790412</v>
      </c>
      <c r="AH11" s="33"/>
      <c r="AI11" s="32">
        <f t="shared" si="11"/>
        <v>51.868238792899987</v>
      </c>
      <c r="AJ11" s="33"/>
      <c r="AK11" s="32">
        <f t="shared" si="12"/>
        <v>49.688272385790412</v>
      </c>
      <c r="AL11" s="33"/>
      <c r="AM11" s="32">
        <f t="shared" si="13"/>
        <v>42.868238792899987</v>
      </c>
      <c r="AN11" s="33"/>
      <c r="AO11" s="32">
        <f t="shared" si="14"/>
        <v>40.688272385790412</v>
      </c>
      <c r="AP11" s="33"/>
      <c r="AQ11" s="32">
        <f t="shared" si="15"/>
        <v>51.868238792899987</v>
      </c>
      <c r="AR11" s="33"/>
      <c r="AS11" s="32">
        <f t="shared" si="16"/>
        <v>49.688272385790412</v>
      </c>
      <c r="AT11" s="33"/>
      <c r="AU11" s="32">
        <f t="shared" si="17"/>
        <v>61.868238792899987</v>
      </c>
      <c r="AV11" s="33"/>
      <c r="AW11" s="32">
        <f t="shared" si="18"/>
        <v>59.688272385790412</v>
      </c>
      <c r="AX11" s="33"/>
    </row>
    <row r="12" spans="2:50" ht="16.5" thickTop="1" thickBot="1" x14ac:dyDescent="0.3">
      <c r="B12" s="5"/>
      <c r="D12" s="26"/>
      <c r="E12" s="26"/>
      <c r="F12" s="1">
        <v>311.83</v>
      </c>
      <c r="G12" s="32">
        <f t="shared" si="0"/>
        <v>80.390157634105677</v>
      </c>
      <c r="H12" s="40"/>
      <c r="I12" s="32">
        <f>10*$G$24*LOG10(F9)+$G$26+10*$G$28*LOG10(3.4)+ $G$30</f>
        <v>91.083936763625275</v>
      </c>
      <c r="J12" s="40"/>
      <c r="K12" s="32">
        <f>G12+6</f>
        <v>86.390157634105677</v>
      </c>
      <c r="L12" s="40"/>
      <c r="M12" s="32">
        <f t="shared" si="1"/>
        <v>91.083936763625275</v>
      </c>
      <c r="N12" s="40"/>
      <c r="O12" s="32">
        <f t="shared" si="2"/>
        <v>-62.390157634105677</v>
      </c>
      <c r="P12" s="33"/>
      <c r="Q12" s="32">
        <f t="shared" si="3"/>
        <v>-67.083936763625275</v>
      </c>
      <c r="R12" s="33"/>
      <c r="S12" s="32">
        <f t="shared" si="4"/>
        <v>-53.390157634105677</v>
      </c>
      <c r="T12" s="33"/>
      <c r="U12" s="32">
        <f t="shared" si="5"/>
        <v>-58.083936763625275</v>
      </c>
      <c r="V12" s="33"/>
      <c r="W12" s="32">
        <f t="shared" si="6"/>
        <v>-43.390157634105677</v>
      </c>
      <c r="X12" s="33"/>
      <c r="Y12" s="32">
        <f t="shared" si="7"/>
        <v>-48.083936763625275</v>
      </c>
      <c r="Z12" s="33"/>
      <c r="AA12" s="32">
        <f t="shared" si="8"/>
        <v>32.609842365894323</v>
      </c>
      <c r="AB12" s="33"/>
      <c r="AC12" s="32">
        <f t="shared" si="9"/>
        <v>27.916063236374725</v>
      </c>
      <c r="AD12" s="33"/>
      <c r="AE12" s="32">
        <f t="shared" si="19"/>
        <v>41.609842365894323</v>
      </c>
      <c r="AF12" s="33"/>
      <c r="AG12" s="32">
        <f t="shared" si="10"/>
        <v>36.916063236374725</v>
      </c>
      <c r="AH12" s="33"/>
      <c r="AI12" s="32">
        <f t="shared" si="11"/>
        <v>51.609842365894323</v>
      </c>
      <c r="AJ12" s="33"/>
      <c r="AK12" s="32">
        <f t="shared" si="12"/>
        <v>46.916063236374725</v>
      </c>
      <c r="AL12" s="33"/>
      <c r="AM12" s="32">
        <f t="shared" si="13"/>
        <v>42.609842365894323</v>
      </c>
      <c r="AN12" s="33"/>
      <c r="AO12" s="32">
        <f t="shared" si="14"/>
        <v>37.916063236374725</v>
      </c>
      <c r="AP12" s="33"/>
      <c r="AQ12" s="32">
        <f t="shared" si="15"/>
        <v>51.609842365894323</v>
      </c>
      <c r="AR12" s="33"/>
      <c r="AS12" s="32">
        <f t="shared" si="16"/>
        <v>46.916063236374725</v>
      </c>
      <c r="AT12" s="33"/>
      <c r="AU12" s="32">
        <f t="shared" si="17"/>
        <v>61.609842365894323</v>
      </c>
      <c r="AV12" s="33"/>
      <c r="AW12" s="32">
        <f t="shared" si="18"/>
        <v>56.916063236374725</v>
      </c>
      <c r="AX12" s="33"/>
    </row>
    <row r="13" spans="2:50" ht="16.5" thickTop="1" thickBot="1" x14ac:dyDescent="0.3">
      <c r="D13" s="26"/>
      <c r="E13" s="26"/>
      <c r="F13" s="1">
        <v>331.88</v>
      </c>
      <c r="G13" s="32">
        <f t="shared" si="0"/>
        <v>80.931421368224846</v>
      </c>
      <c r="H13" s="40"/>
      <c r="I13" s="32">
        <f>10*$G$24*LOG10(F10)+$G$26+10*$G$28*LOG10(3.4)+ $G$30</f>
        <v>94.525993939585263</v>
      </c>
      <c r="J13" s="40"/>
      <c r="K13" s="32">
        <f>G13+6</f>
        <v>86.931421368224846</v>
      </c>
      <c r="L13" s="40"/>
      <c r="M13" s="32">
        <f t="shared" si="1"/>
        <v>94.525993939585263</v>
      </c>
      <c r="N13" s="40"/>
      <c r="O13" s="32">
        <f t="shared" si="2"/>
        <v>-62.931421368224846</v>
      </c>
      <c r="P13" s="33"/>
      <c r="Q13" s="32">
        <f t="shared" si="3"/>
        <v>-70.525993939585263</v>
      </c>
      <c r="R13" s="33"/>
      <c r="S13" s="32">
        <f t="shared" si="4"/>
        <v>-53.931421368224846</v>
      </c>
      <c r="T13" s="33"/>
      <c r="U13" s="32">
        <f t="shared" si="5"/>
        <v>-61.525993939585263</v>
      </c>
      <c r="V13" s="33"/>
      <c r="W13" s="32">
        <f t="shared" si="6"/>
        <v>-43.931421368224846</v>
      </c>
      <c r="X13" s="33"/>
      <c r="Y13" s="32">
        <f t="shared" si="7"/>
        <v>-51.525993939585263</v>
      </c>
      <c r="Z13" s="33"/>
      <c r="AA13" s="32">
        <f t="shared" si="8"/>
        <v>32.068578631775154</v>
      </c>
      <c r="AB13" s="33"/>
      <c r="AC13" s="32">
        <f t="shared" si="9"/>
        <v>24.474006060414737</v>
      </c>
      <c r="AD13" s="33"/>
      <c r="AE13" s="32">
        <f t="shared" si="19"/>
        <v>41.068578631775154</v>
      </c>
      <c r="AF13" s="33"/>
      <c r="AG13" s="32">
        <f t="shared" si="10"/>
        <v>33.474006060414737</v>
      </c>
      <c r="AH13" s="33"/>
      <c r="AI13" s="32">
        <f t="shared" si="11"/>
        <v>51.068578631775154</v>
      </c>
      <c r="AJ13" s="33"/>
      <c r="AK13" s="32">
        <f t="shared" si="12"/>
        <v>43.474006060414737</v>
      </c>
      <c r="AL13" s="33"/>
      <c r="AM13" s="32">
        <f t="shared" si="13"/>
        <v>42.068578631775154</v>
      </c>
      <c r="AN13" s="33"/>
      <c r="AO13" s="32">
        <f t="shared" si="14"/>
        <v>34.474006060414737</v>
      </c>
      <c r="AP13" s="33"/>
      <c r="AQ13" s="32">
        <f t="shared" si="15"/>
        <v>51.068578631775154</v>
      </c>
      <c r="AR13" s="33"/>
      <c r="AS13" s="32">
        <f t="shared" si="16"/>
        <v>43.474006060414737</v>
      </c>
      <c r="AT13" s="33"/>
      <c r="AU13" s="32">
        <f t="shared" si="17"/>
        <v>61.068578631775154</v>
      </c>
      <c r="AV13" s="33"/>
      <c r="AW13" s="32">
        <f t="shared" si="18"/>
        <v>53.474006060414737</v>
      </c>
      <c r="AX13" s="33"/>
    </row>
    <row r="14" spans="2:50" ht="16.5" thickTop="1" thickBot="1" x14ac:dyDescent="0.3">
      <c r="D14" s="26" t="s">
        <v>9</v>
      </c>
      <c r="E14" s="26"/>
      <c r="F14" s="1">
        <v>335.45</v>
      </c>
      <c r="G14" s="32">
        <f t="shared" si="0"/>
        <v>81.024355664076637</v>
      </c>
      <c r="H14" s="40"/>
      <c r="I14" s="32">
        <f>10*$J$24*LOG10(F8)+$J$26+10*$J$28*LOG10(3.4)+ $J$30</f>
        <v>118.23274007660002</v>
      </c>
      <c r="J14" s="40"/>
      <c r="K14" s="32">
        <f>G14+30</f>
        <v>111.02435566407664</v>
      </c>
      <c r="L14" s="40"/>
      <c r="M14" s="32">
        <f t="shared" si="1"/>
        <v>118.23274007660002</v>
      </c>
      <c r="N14" s="40"/>
      <c r="O14" s="32">
        <f t="shared" si="2"/>
        <v>-87.024355664076637</v>
      </c>
      <c r="P14" s="33"/>
      <c r="Q14" s="32">
        <f t="shared" si="3"/>
        <v>-94.232740076600024</v>
      </c>
      <c r="R14" s="33"/>
      <c r="S14" s="32">
        <f t="shared" si="4"/>
        <v>-78.024355664076637</v>
      </c>
      <c r="T14" s="33"/>
      <c r="U14" s="32">
        <f t="shared" si="5"/>
        <v>-85.232740076600024</v>
      </c>
      <c r="V14" s="33"/>
      <c r="W14" s="32">
        <f t="shared" si="6"/>
        <v>-68.024355664076637</v>
      </c>
      <c r="X14" s="33"/>
      <c r="Y14" s="32">
        <f t="shared" si="7"/>
        <v>-75.232740076600024</v>
      </c>
      <c r="Z14" s="33"/>
      <c r="AA14" s="32">
        <f t="shared" si="8"/>
        <v>7.9756443359233629</v>
      </c>
      <c r="AB14" s="33"/>
      <c r="AC14" s="32">
        <f t="shared" si="9"/>
        <v>0.76725992339997617</v>
      </c>
      <c r="AD14" s="33"/>
      <c r="AE14" s="32">
        <f t="shared" si="19"/>
        <v>16.975644335923363</v>
      </c>
      <c r="AF14" s="33"/>
      <c r="AG14" s="32">
        <f t="shared" si="10"/>
        <v>9.7672599233999762</v>
      </c>
      <c r="AH14" s="33"/>
      <c r="AI14" s="32">
        <f t="shared" si="11"/>
        <v>26.975644335923363</v>
      </c>
      <c r="AJ14" s="33"/>
      <c r="AK14" s="32">
        <f t="shared" si="12"/>
        <v>19.767259923399976</v>
      </c>
      <c r="AL14" s="33"/>
      <c r="AM14" s="32">
        <f t="shared" si="13"/>
        <v>17.975644335923363</v>
      </c>
      <c r="AN14" s="33"/>
      <c r="AO14" s="32">
        <f t="shared" si="14"/>
        <v>10.767259923399976</v>
      </c>
      <c r="AP14" s="33"/>
      <c r="AQ14" s="32">
        <f t="shared" si="15"/>
        <v>26.975644335923363</v>
      </c>
      <c r="AR14" s="33"/>
      <c r="AS14" s="32">
        <f t="shared" si="16"/>
        <v>19.767259923399976</v>
      </c>
      <c r="AT14" s="33"/>
      <c r="AU14" s="32">
        <f t="shared" si="17"/>
        <v>36.975644335923363</v>
      </c>
      <c r="AV14" s="33"/>
      <c r="AW14" s="32">
        <f t="shared" si="18"/>
        <v>29.767259923399976</v>
      </c>
      <c r="AX14" s="33"/>
    </row>
    <row r="15" spans="2:50" ht="16.5" thickTop="1" thickBot="1" x14ac:dyDescent="0.3">
      <c r="D15" s="26"/>
      <c r="E15" s="26"/>
      <c r="F15" s="1">
        <v>320.77999999999997</v>
      </c>
      <c r="G15" s="32">
        <f t="shared" si="0"/>
        <v>80.635945400883983</v>
      </c>
      <c r="H15" s="40"/>
      <c r="I15" s="32">
        <f>10*$J$24*LOG10(F9)+$J$26+10*$J$28*LOG10(3.4)+ $J$30</f>
        <v>121.69800151336962</v>
      </c>
      <c r="J15" s="40"/>
      <c r="K15" s="32">
        <f>G15+30</f>
        <v>110.63594540088398</v>
      </c>
      <c r="L15" s="40"/>
      <c r="M15" s="32">
        <f t="shared" si="1"/>
        <v>121.69800151336962</v>
      </c>
      <c r="N15" s="40"/>
      <c r="O15" s="32">
        <f t="shared" si="2"/>
        <v>-86.635945400883983</v>
      </c>
      <c r="P15" s="33"/>
      <c r="Q15" s="32">
        <f t="shared" si="3"/>
        <v>-97.698001513369618</v>
      </c>
      <c r="R15" s="33"/>
      <c r="S15" s="32">
        <f t="shared" si="4"/>
        <v>-77.635945400883983</v>
      </c>
      <c r="T15" s="33"/>
      <c r="U15" s="32">
        <f t="shared" si="5"/>
        <v>-88.698001513369618</v>
      </c>
      <c r="V15" s="33"/>
      <c r="W15" s="32">
        <f t="shared" si="6"/>
        <v>-67.635945400883983</v>
      </c>
      <c r="X15" s="33"/>
      <c r="Y15" s="32">
        <f t="shared" si="7"/>
        <v>-78.698001513369618</v>
      </c>
      <c r="Z15" s="33"/>
      <c r="AA15" s="32">
        <f t="shared" si="8"/>
        <v>8.3640545991160167</v>
      </c>
      <c r="AB15" s="33"/>
      <c r="AC15" s="32">
        <f t="shared" si="9"/>
        <v>-2.6980015133696185</v>
      </c>
      <c r="AD15" s="33"/>
      <c r="AE15" s="32">
        <f t="shared" si="19"/>
        <v>17.364054599116017</v>
      </c>
      <c r="AF15" s="33"/>
      <c r="AG15" s="32">
        <f t="shared" si="10"/>
        <v>6.3019984866303815</v>
      </c>
      <c r="AH15" s="33"/>
      <c r="AI15" s="32">
        <f t="shared" si="11"/>
        <v>27.364054599116017</v>
      </c>
      <c r="AJ15" s="33"/>
      <c r="AK15" s="32">
        <f t="shared" si="12"/>
        <v>16.301998486630382</v>
      </c>
      <c r="AL15" s="33"/>
      <c r="AM15" s="32">
        <f t="shared" si="13"/>
        <v>18.364054599116017</v>
      </c>
      <c r="AN15" s="33"/>
      <c r="AO15" s="32">
        <f t="shared" si="14"/>
        <v>7.3019984866303815</v>
      </c>
      <c r="AP15" s="33"/>
      <c r="AQ15" s="32">
        <f t="shared" si="15"/>
        <v>27.364054599116017</v>
      </c>
      <c r="AR15" s="33"/>
      <c r="AS15" s="32">
        <f t="shared" si="16"/>
        <v>16.301998486630382</v>
      </c>
      <c r="AT15" s="33"/>
      <c r="AU15" s="32">
        <f t="shared" si="17"/>
        <v>37.364054599116017</v>
      </c>
      <c r="AV15" s="33"/>
      <c r="AW15" s="32">
        <f t="shared" si="18"/>
        <v>26.301998486630382</v>
      </c>
      <c r="AX15" s="33"/>
    </row>
    <row r="16" spans="2:50" ht="16.5" thickTop="1" thickBot="1" x14ac:dyDescent="0.3">
      <c r="D16" s="26"/>
      <c r="E16" s="27"/>
      <c r="F16" s="1">
        <v>349.34</v>
      </c>
      <c r="G16" s="32">
        <f t="shared" si="0"/>
        <v>81.376766058070757</v>
      </c>
      <c r="H16" s="40"/>
      <c r="I16" s="32">
        <f>10*$J$24*LOG10(F10)+$J$26+10*$J$28*LOG10(3.4)+ $J$30</f>
        <v>126.0005729833196</v>
      </c>
      <c r="J16" s="40"/>
      <c r="K16" s="32">
        <f>G16+30</f>
        <v>111.37676605807076</v>
      </c>
      <c r="L16" s="40"/>
      <c r="M16" s="32">
        <f t="shared" si="1"/>
        <v>126.0005729833196</v>
      </c>
      <c r="N16" s="40"/>
      <c r="O16" s="32">
        <f t="shared" si="2"/>
        <v>-87.376766058070757</v>
      </c>
      <c r="P16" s="33"/>
      <c r="Q16" s="32">
        <f t="shared" si="3"/>
        <v>-102.0005729833196</v>
      </c>
      <c r="R16" s="33"/>
      <c r="S16" s="32">
        <f t="shared" si="4"/>
        <v>-78.376766058070757</v>
      </c>
      <c r="T16" s="33"/>
      <c r="U16" s="32">
        <f t="shared" si="5"/>
        <v>-93.0005729833196</v>
      </c>
      <c r="V16" s="33"/>
      <c r="W16" s="32">
        <f t="shared" si="6"/>
        <v>-68.376766058070757</v>
      </c>
      <c r="X16" s="33"/>
      <c r="Y16" s="32">
        <f t="shared" si="7"/>
        <v>-83.0005729833196</v>
      </c>
      <c r="Z16" s="33"/>
      <c r="AA16" s="32">
        <f t="shared" si="8"/>
        <v>7.623233941929243</v>
      </c>
      <c r="AB16" s="33"/>
      <c r="AC16" s="32">
        <f t="shared" si="9"/>
        <v>-7.0005729833196</v>
      </c>
      <c r="AD16" s="33"/>
      <c r="AE16" s="32">
        <f t="shared" si="19"/>
        <v>16.623233941929243</v>
      </c>
      <c r="AF16" s="33"/>
      <c r="AG16" s="32">
        <f t="shared" si="10"/>
        <v>1.9994270166804</v>
      </c>
      <c r="AH16" s="33"/>
      <c r="AI16" s="32">
        <f t="shared" si="11"/>
        <v>26.623233941929243</v>
      </c>
      <c r="AJ16" s="33"/>
      <c r="AK16" s="32">
        <f t="shared" si="12"/>
        <v>11.9994270166804</v>
      </c>
      <c r="AL16" s="33"/>
      <c r="AM16" s="32">
        <f t="shared" si="13"/>
        <v>17.623233941929243</v>
      </c>
      <c r="AN16" s="33"/>
      <c r="AO16" s="32">
        <f t="shared" si="14"/>
        <v>2.9994270166804</v>
      </c>
      <c r="AP16" s="33"/>
      <c r="AQ16" s="32">
        <f t="shared" si="15"/>
        <v>26.623233941929243</v>
      </c>
      <c r="AR16" s="33"/>
      <c r="AS16" s="32">
        <f t="shared" si="16"/>
        <v>11.9994270166804</v>
      </c>
      <c r="AT16" s="33"/>
      <c r="AU16" s="32">
        <f t="shared" si="17"/>
        <v>36.623233941929243</v>
      </c>
      <c r="AV16" s="33"/>
      <c r="AW16" s="32">
        <f t="shared" si="18"/>
        <v>21.9994270166804</v>
      </c>
      <c r="AX16" s="33"/>
    </row>
    <row r="17" spans="3:51" ht="16.5" thickTop="1" thickBot="1" x14ac:dyDescent="0.3">
      <c r="E17" s="3"/>
      <c r="F17" s="4" t="s">
        <v>3</v>
      </c>
      <c r="G17" s="34" t="s">
        <v>6</v>
      </c>
      <c r="H17" s="35"/>
      <c r="I17" s="35"/>
      <c r="J17" s="35"/>
      <c r="K17" s="35"/>
      <c r="L17" s="35"/>
      <c r="M17" s="35"/>
      <c r="N17" s="36"/>
      <c r="O17" s="37" t="s">
        <v>7</v>
      </c>
      <c r="P17" s="37"/>
      <c r="Q17" s="37"/>
      <c r="R17" s="37"/>
      <c r="S17" s="37"/>
      <c r="T17" s="37"/>
      <c r="U17" s="37"/>
      <c r="V17" s="37"/>
      <c r="W17" s="37"/>
      <c r="X17" s="37"/>
      <c r="Y17" s="37"/>
      <c r="Z17" s="37"/>
      <c r="AA17" s="38" t="s">
        <v>7</v>
      </c>
      <c r="AB17" s="39"/>
      <c r="AC17" s="39"/>
      <c r="AD17" s="39"/>
      <c r="AE17" s="39"/>
      <c r="AF17" s="39"/>
      <c r="AG17" s="39"/>
      <c r="AH17" s="39"/>
      <c r="AI17" s="39"/>
      <c r="AJ17" s="39"/>
      <c r="AK17" s="39"/>
      <c r="AL17" s="39"/>
      <c r="AM17" s="39"/>
      <c r="AN17" s="39"/>
      <c r="AO17" s="39"/>
      <c r="AP17" s="39"/>
      <c r="AQ17" s="39"/>
      <c r="AR17" s="39"/>
      <c r="AS17" s="39"/>
      <c r="AT17" s="39"/>
      <c r="AU17" s="39"/>
      <c r="AV17" s="39"/>
      <c r="AW17" s="39"/>
      <c r="AX17" s="39"/>
      <c r="AY17" s="6"/>
    </row>
    <row r="18" spans="3:51" ht="16.5" thickTop="1" thickBot="1" x14ac:dyDescent="0.3">
      <c r="F18" s="3"/>
      <c r="G18" s="17" t="s">
        <v>8</v>
      </c>
      <c r="H18" s="18"/>
      <c r="I18" s="19" t="s">
        <v>20</v>
      </c>
      <c r="J18" s="18"/>
      <c r="K18" s="20" t="s">
        <v>15</v>
      </c>
      <c r="L18" s="21"/>
      <c r="M18" s="21"/>
      <c r="N18" s="21"/>
      <c r="O18" s="22" t="s">
        <v>16</v>
      </c>
      <c r="P18" s="21"/>
      <c r="Q18" s="21"/>
      <c r="R18" s="21"/>
      <c r="S18" s="21"/>
      <c r="T18" s="21"/>
      <c r="U18" s="21"/>
      <c r="V18" s="21"/>
      <c r="W18" s="21"/>
      <c r="X18" s="21"/>
      <c r="Y18" s="21"/>
      <c r="Z18" s="21"/>
      <c r="AA18" s="23" t="s">
        <v>28</v>
      </c>
      <c r="AB18" s="24"/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5"/>
    </row>
    <row r="19" spans="3:51" ht="15.75" thickTop="1" x14ac:dyDescent="0.25"/>
    <row r="20" spans="3:51" ht="15.75" thickBot="1" x14ac:dyDescent="0.3"/>
    <row r="21" spans="3:51" ht="16.5" thickTop="1" thickBot="1" x14ac:dyDescent="0.3">
      <c r="D21" s="26" t="s">
        <v>11</v>
      </c>
      <c r="E21" s="26"/>
      <c r="G21" s="28" t="s">
        <v>10</v>
      </c>
      <c r="H21" s="29"/>
      <c r="J21" s="26" t="s">
        <v>9</v>
      </c>
      <c r="K21" s="26"/>
    </row>
    <row r="22" spans="3:51" ht="16.5" thickTop="1" thickBot="1" x14ac:dyDescent="0.3">
      <c r="D22" s="26"/>
      <c r="E22" s="26"/>
      <c r="G22" s="30"/>
      <c r="H22" s="31"/>
      <c r="J22" s="26"/>
      <c r="K22" s="26"/>
    </row>
    <row r="23" spans="3:51" ht="16.5" thickTop="1" thickBot="1" x14ac:dyDescent="0.3">
      <c r="D23" s="27"/>
      <c r="E23" s="27"/>
      <c r="G23" s="30"/>
      <c r="H23" s="31"/>
      <c r="J23" s="26"/>
      <c r="K23" s="26"/>
    </row>
    <row r="24" spans="3:51" ht="15.75" thickTop="1" x14ac:dyDescent="0.25">
      <c r="C24" s="7" t="s">
        <v>12</v>
      </c>
      <c r="D24" s="13">
        <v>2</v>
      </c>
      <c r="E24" s="14"/>
      <c r="G24" s="13">
        <v>2.8</v>
      </c>
      <c r="H24" s="14"/>
      <c r="J24" s="13">
        <v>3.5</v>
      </c>
      <c r="K24" s="14"/>
    </row>
    <row r="25" spans="3:51" ht="15.75" thickBot="1" x14ac:dyDescent="0.3">
      <c r="C25" s="8"/>
      <c r="D25" s="15"/>
      <c r="E25" s="16"/>
      <c r="G25" s="15"/>
      <c r="H25" s="16"/>
      <c r="I25" s="2"/>
      <c r="J25" s="15"/>
      <c r="K25" s="16"/>
      <c r="Y25" t="s">
        <v>22</v>
      </c>
    </row>
    <row r="26" spans="3:51" ht="15.75" thickTop="1" x14ac:dyDescent="0.25">
      <c r="C26" s="7" t="s">
        <v>13</v>
      </c>
      <c r="D26" s="9">
        <v>31.4</v>
      </c>
      <c r="E26" s="10"/>
      <c r="G26" s="9">
        <v>11.4</v>
      </c>
      <c r="H26" s="10"/>
      <c r="J26" s="9">
        <v>24.4</v>
      </c>
      <c r="K26" s="10"/>
    </row>
    <row r="27" spans="3:51" ht="15.75" thickBot="1" x14ac:dyDescent="0.3">
      <c r="C27" s="8"/>
      <c r="D27" s="15"/>
      <c r="E27" s="16"/>
      <c r="G27" s="15"/>
      <c r="H27" s="16"/>
      <c r="J27" s="15"/>
      <c r="K27" s="16"/>
    </row>
    <row r="28" spans="3:51" ht="15.75" thickTop="1" x14ac:dyDescent="0.25">
      <c r="C28" s="7" t="s">
        <v>14</v>
      </c>
      <c r="D28" s="9">
        <v>2.1</v>
      </c>
      <c r="E28" s="10"/>
      <c r="G28" s="9">
        <v>2.2999999999999998</v>
      </c>
      <c r="H28" s="10"/>
      <c r="J28" s="9">
        <v>1.9</v>
      </c>
      <c r="K28" s="10"/>
    </row>
    <row r="29" spans="3:51" ht="15.75" thickBot="1" x14ac:dyDescent="0.3">
      <c r="C29" s="8"/>
      <c r="D29" s="11"/>
      <c r="E29" s="12"/>
      <c r="G29" s="11"/>
      <c r="H29" s="12"/>
      <c r="J29" s="11"/>
      <c r="K29" s="12"/>
    </row>
    <row r="30" spans="3:51" ht="15.75" thickTop="1" x14ac:dyDescent="0.25">
      <c r="C30" s="7" t="s">
        <v>21</v>
      </c>
      <c r="D30" s="9">
        <v>2.9</v>
      </c>
      <c r="E30" s="10"/>
      <c r="G30" s="9">
        <v>4.0999999999999996</v>
      </c>
      <c r="H30" s="10"/>
      <c r="J30" s="9">
        <v>8</v>
      </c>
      <c r="K30" s="10"/>
    </row>
    <row r="31" spans="3:51" ht="15.75" thickBot="1" x14ac:dyDescent="0.3">
      <c r="C31" s="8"/>
      <c r="D31" s="11"/>
      <c r="E31" s="12"/>
      <c r="G31" s="11"/>
      <c r="H31" s="12"/>
      <c r="J31" s="11"/>
      <c r="K31" s="12"/>
    </row>
  </sheetData>
  <mergeCells count="264">
    <mergeCell ref="AA3:AL3"/>
    <mergeCell ref="AM3:AX3"/>
    <mergeCell ref="G4:J5"/>
    <mergeCell ref="K4:N5"/>
    <mergeCell ref="O4:R5"/>
    <mergeCell ref="S4:V5"/>
    <mergeCell ref="W4:Z5"/>
    <mergeCell ref="AA4:AD5"/>
    <mergeCell ref="AE4:AH5"/>
    <mergeCell ref="AI4:AL5"/>
    <mergeCell ref="AM4:AP5"/>
    <mergeCell ref="AQ4:AT5"/>
    <mergeCell ref="AU4:AX5"/>
    <mergeCell ref="D6:F7"/>
    <mergeCell ref="G6:H7"/>
    <mergeCell ref="I6:J7"/>
    <mergeCell ref="K6:L7"/>
    <mergeCell ref="M6:N7"/>
    <mergeCell ref="O6:P7"/>
    <mergeCell ref="Q6:R7"/>
    <mergeCell ref="AQ6:AR7"/>
    <mergeCell ref="AS6:AT7"/>
    <mergeCell ref="AU6:AV7"/>
    <mergeCell ref="AW6:AX7"/>
    <mergeCell ref="D8:E10"/>
    <mergeCell ref="G8:H8"/>
    <mergeCell ref="I8:J8"/>
    <mergeCell ref="K8:L8"/>
    <mergeCell ref="M8:N8"/>
    <mergeCell ref="O8:P8"/>
    <mergeCell ref="AE6:AF7"/>
    <mergeCell ref="AG6:AH7"/>
    <mergeCell ref="AI6:AJ7"/>
    <mergeCell ref="AK6:AL7"/>
    <mergeCell ref="AM6:AN7"/>
    <mergeCell ref="AO6:AP7"/>
    <mergeCell ref="S6:T7"/>
    <mergeCell ref="U6:V7"/>
    <mergeCell ref="W6:X7"/>
    <mergeCell ref="Y6:Z7"/>
    <mergeCell ref="AA6:AB7"/>
    <mergeCell ref="AC6:AD7"/>
    <mergeCell ref="AO8:AP8"/>
    <mergeCell ref="AQ8:AR8"/>
    <mergeCell ref="AS8:AT8"/>
    <mergeCell ref="AU8:AV8"/>
    <mergeCell ref="AW8:AX8"/>
    <mergeCell ref="G9:H9"/>
    <mergeCell ref="I9:J9"/>
    <mergeCell ref="K9:L9"/>
    <mergeCell ref="M9:N9"/>
    <mergeCell ref="O9:P9"/>
    <mergeCell ref="AC8:AD8"/>
    <mergeCell ref="AE8:AF8"/>
    <mergeCell ref="AG8:AH8"/>
    <mergeCell ref="AI8:AJ8"/>
    <mergeCell ref="AK8:AL8"/>
    <mergeCell ref="AM8:AN8"/>
    <mergeCell ref="Q8:R8"/>
    <mergeCell ref="S8:T8"/>
    <mergeCell ref="U8:V8"/>
    <mergeCell ref="W8:X8"/>
    <mergeCell ref="Y8:Z8"/>
    <mergeCell ref="AA8:AB8"/>
    <mergeCell ref="AO9:AP9"/>
    <mergeCell ref="AQ9:AR9"/>
    <mergeCell ref="AS9:AT9"/>
    <mergeCell ref="AU9:AV9"/>
    <mergeCell ref="AW9:AX9"/>
    <mergeCell ref="AK9:AL9"/>
    <mergeCell ref="G10:H10"/>
    <mergeCell ref="I10:J10"/>
    <mergeCell ref="K10:L10"/>
    <mergeCell ref="M10:N10"/>
    <mergeCell ref="O10:P10"/>
    <mergeCell ref="AC9:AD9"/>
    <mergeCell ref="AE9:AF9"/>
    <mergeCell ref="AG9:AH9"/>
    <mergeCell ref="AI9:AJ9"/>
    <mergeCell ref="AM9:AN9"/>
    <mergeCell ref="Q9:R9"/>
    <mergeCell ref="S9:T9"/>
    <mergeCell ref="U9:V9"/>
    <mergeCell ref="W9:X9"/>
    <mergeCell ref="Y9:Z9"/>
    <mergeCell ref="AA9:AB9"/>
    <mergeCell ref="AO10:AP10"/>
    <mergeCell ref="AQ10:AR10"/>
    <mergeCell ref="AS10:AT10"/>
    <mergeCell ref="AU10:AV10"/>
    <mergeCell ref="AW10:AX10"/>
    <mergeCell ref="D11:E13"/>
    <mergeCell ref="G11:H11"/>
    <mergeCell ref="I11:J11"/>
    <mergeCell ref="K11:L11"/>
    <mergeCell ref="M11:N11"/>
    <mergeCell ref="AC10:AD10"/>
    <mergeCell ref="AE10:AF10"/>
    <mergeCell ref="AG10:AH10"/>
    <mergeCell ref="AI10:AJ10"/>
    <mergeCell ref="AK10:AL10"/>
    <mergeCell ref="AM10:AN10"/>
    <mergeCell ref="Q10:R10"/>
    <mergeCell ref="S10:T10"/>
    <mergeCell ref="U10:V10"/>
    <mergeCell ref="W10:X10"/>
    <mergeCell ref="Y10:Z10"/>
    <mergeCell ref="AA10:AB10"/>
    <mergeCell ref="AW11:AX11"/>
    <mergeCell ref="AA11:AB11"/>
    <mergeCell ref="AC11:AD11"/>
    <mergeCell ref="AE11:AF11"/>
    <mergeCell ref="K12:L12"/>
    <mergeCell ref="M12:N12"/>
    <mergeCell ref="O12:P12"/>
    <mergeCell ref="Q12:R12"/>
    <mergeCell ref="AM11:AN11"/>
    <mergeCell ref="AO11:AP11"/>
    <mergeCell ref="AQ11:AR11"/>
    <mergeCell ref="AS11:AT11"/>
    <mergeCell ref="AU11:AV11"/>
    <mergeCell ref="AQ12:AR12"/>
    <mergeCell ref="AS12:AT12"/>
    <mergeCell ref="AU12:AV12"/>
    <mergeCell ref="AG11:AH11"/>
    <mergeCell ref="AI11:AJ11"/>
    <mergeCell ref="AK11:AL11"/>
    <mergeCell ref="O11:P11"/>
    <mergeCell ref="Q11:R11"/>
    <mergeCell ref="S11:T11"/>
    <mergeCell ref="U11:V11"/>
    <mergeCell ref="W11:X11"/>
    <mergeCell ref="Y11:Z11"/>
    <mergeCell ref="AW12:AX12"/>
    <mergeCell ref="G13:H13"/>
    <mergeCell ref="I13:J13"/>
    <mergeCell ref="K13:L13"/>
    <mergeCell ref="M13:N13"/>
    <mergeCell ref="O13:P13"/>
    <mergeCell ref="Q13:R13"/>
    <mergeCell ref="AE12:AF12"/>
    <mergeCell ref="AG12:AH12"/>
    <mergeCell ref="AI12:AJ12"/>
    <mergeCell ref="AK12:AL12"/>
    <mergeCell ref="AM12:AN12"/>
    <mergeCell ref="AO12:AP12"/>
    <mergeCell ref="S12:T12"/>
    <mergeCell ref="U12:V12"/>
    <mergeCell ref="W12:X12"/>
    <mergeCell ref="Y12:Z12"/>
    <mergeCell ref="AA12:AB12"/>
    <mergeCell ref="AC12:AD12"/>
    <mergeCell ref="G12:H12"/>
    <mergeCell ref="I12:J12"/>
    <mergeCell ref="AQ13:AR13"/>
    <mergeCell ref="AS13:AT13"/>
    <mergeCell ref="AU13:AV13"/>
    <mergeCell ref="AW13:AX13"/>
    <mergeCell ref="D14:E16"/>
    <mergeCell ref="G14:H14"/>
    <mergeCell ref="I14:J14"/>
    <mergeCell ref="K14:L14"/>
    <mergeCell ref="M14:N14"/>
    <mergeCell ref="O14:P14"/>
    <mergeCell ref="AE13:AF13"/>
    <mergeCell ref="AG13:AH13"/>
    <mergeCell ref="AI13:AJ13"/>
    <mergeCell ref="AK13:AL13"/>
    <mergeCell ref="AM13:AN13"/>
    <mergeCell ref="AO13:AP13"/>
    <mergeCell ref="S13:T13"/>
    <mergeCell ref="U13:V13"/>
    <mergeCell ref="W13:X13"/>
    <mergeCell ref="Y13:Z13"/>
    <mergeCell ref="AA13:AB13"/>
    <mergeCell ref="AC13:AD13"/>
    <mergeCell ref="AO14:AP14"/>
    <mergeCell ref="AQ14:AR14"/>
    <mergeCell ref="AS14:AT14"/>
    <mergeCell ref="AU14:AV14"/>
    <mergeCell ref="AW14:AX14"/>
    <mergeCell ref="G15:H15"/>
    <mergeCell ref="I15:J15"/>
    <mergeCell ref="K15:L15"/>
    <mergeCell ref="M15:N15"/>
    <mergeCell ref="O15:P15"/>
    <mergeCell ref="AC14:AD14"/>
    <mergeCell ref="AE14:AF14"/>
    <mergeCell ref="AG14:AH14"/>
    <mergeCell ref="AI14:AJ14"/>
    <mergeCell ref="AK14:AL14"/>
    <mergeCell ref="AM14:AN14"/>
    <mergeCell ref="Q14:R14"/>
    <mergeCell ref="S14:T14"/>
    <mergeCell ref="U14:V14"/>
    <mergeCell ref="W14:X14"/>
    <mergeCell ref="Y14:Z14"/>
    <mergeCell ref="AA14:AB14"/>
    <mergeCell ref="G16:H16"/>
    <mergeCell ref="I16:J16"/>
    <mergeCell ref="K16:L16"/>
    <mergeCell ref="M16:N16"/>
    <mergeCell ref="O16:P16"/>
    <mergeCell ref="AC15:AD15"/>
    <mergeCell ref="AE15:AF15"/>
    <mergeCell ref="AG15:AH15"/>
    <mergeCell ref="AI15:AJ15"/>
    <mergeCell ref="Q15:R15"/>
    <mergeCell ref="S15:T15"/>
    <mergeCell ref="U15:V15"/>
    <mergeCell ref="W15:X15"/>
    <mergeCell ref="Y15:Z15"/>
    <mergeCell ref="AA15:AB15"/>
    <mergeCell ref="U16:V16"/>
    <mergeCell ref="W16:X16"/>
    <mergeCell ref="Y16:Z16"/>
    <mergeCell ref="AA16:AB16"/>
    <mergeCell ref="AO15:AP15"/>
    <mergeCell ref="AQ15:AR15"/>
    <mergeCell ref="AS15:AT15"/>
    <mergeCell ref="AU15:AV15"/>
    <mergeCell ref="AW15:AX15"/>
    <mergeCell ref="AK15:AL15"/>
    <mergeCell ref="AM15:AN15"/>
    <mergeCell ref="G18:H18"/>
    <mergeCell ref="I18:J18"/>
    <mergeCell ref="K18:N18"/>
    <mergeCell ref="O18:Z18"/>
    <mergeCell ref="AA18:AX18"/>
    <mergeCell ref="D21:E23"/>
    <mergeCell ref="G21:H23"/>
    <mergeCell ref="J21:K23"/>
    <mergeCell ref="AO16:AP16"/>
    <mergeCell ref="AQ16:AR16"/>
    <mergeCell ref="AS16:AT16"/>
    <mergeCell ref="AU16:AV16"/>
    <mergeCell ref="AW16:AX16"/>
    <mergeCell ref="G17:N17"/>
    <mergeCell ref="O17:Z17"/>
    <mergeCell ref="AA17:AX17"/>
    <mergeCell ref="AC16:AD16"/>
    <mergeCell ref="AE16:AF16"/>
    <mergeCell ref="AG16:AH16"/>
    <mergeCell ref="AI16:AJ16"/>
    <mergeCell ref="AK16:AL16"/>
    <mergeCell ref="AM16:AN16"/>
    <mergeCell ref="Q16:R16"/>
    <mergeCell ref="S16:T16"/>
    <mergeCell ref="C28:C29"/>
    <mergeCell ref="D28:E29"/>
    <mergeCell ref="G28:H29"/>
    <mergeCell ref="J28:K29"/>
    <mergeCell ref="C30:C31"/>
    <mergeCell ref="D30:E31"/>
    <mergeCell ref="G30:H31"/>
    <mergeCell ref="J30:K31"/>
    <mergeCell ref="C24:C25"/>
    <mergeCell ref="D24:E25"/>
    <mergeCell ref="G24:H25"/>
    <mergeCell ref="J24:K25"/>
    <mergeCell ref="C26:C27"/>
    <mergeCell ref="D26:E27"/>
    <mergeCell ref="G26:H27"/>
    <mergeCell ref="J26:K27"/>
  </mergeCells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DCD6FD-200B-4076-B07C-EA0FB344A36F}">
  <dimension ref="B3:AY31"/>
  <sheetViews>
    <sheetView topLeftCell="C2" zoomScale="115" zoomScaleNormal="115" workbookViewId="0">
      <selection activeCell="S6" sqref="S6:T7"/>
    </sheetView>
  </sheetViews>
  <sheetFormatPr defaultRowHeight="15" x14ac:dyDescent="0.25"/>
  <cols>
    <col min="6" max="6" width="9" customWidth="1"/>
    <col min="7" max="7" width="19" customWidth="1"/>
    <col min="8" max="8" width="17.28515625" customWidth="1"/>
    <col min="10" max="10" width="41" customWidth="1"/>
  </cols>
  <sheetData>
    <row r="3" spans="2:22" ht="15.75" thickBot="1" x14ac:dyDescent="0.3"/>
    <row r="4" spans="2:22" ht="16.5" thickTop="1" thickBot="1" x14ac:dyDescent="0.3">
      <c r="G4" s="43" t="s">
        <v>1</v>
      </c>
      <c r="H4" s="43"/>
      <c r="I4" s="43"/>
      <c r="J4" s="43"/>
      <c r="K4" s="43" t="s">
        <v>2</v>
      </c>
      <c r="L4" s="43"/>
      <c r="M4" s="43"/>
      <c r="N4" s="43"/>
      <c r="O4" s="44" t="s">
        <v>29</v>
      </c>
      <c r="P4" s="44"/>
      <c r="Q4" s="44"/>
      <c r="R4" s="44"/>
      <c r="S4" s="45" t="s">
        <v>30</v>
      </c>
      <c r="T4" s="45"/>
      <c r="U4" s="45"/>
      <c r="V4" s="45"/>
    </row>
    <row r="5" spans="2:22" ht="16.5" thickTop="1" thickBot="1" x14ac:dyDescent="0.3">
      <c r="G5" s="43"/>
      <c r="H5" s="43"/>
      <c r="I5" s="43"/>
      <c r="J5" s="43"/>
      <c r="K5" s="43"/>
      <c r="L5" s="43"/>
      <c r="M5" s="43"/>
      <c r="N5" s="43"/>
      <c r="O5" s="44"/>
      <c r="P5" s="44"/>
      <c r="Q5" s="44"/>
      <c r="R5" s="44"/>
      <c r="S5" s="45"/>
      <c r="T5" s="45"/>
      <c r="U5" s="45"/>
      <c r="V5" s="45"/>
    </row>
    <row r="6" spans="2:22" ht="16.5" thickTop="1" thickBot="1" x14ac:dyDescent="0.3">
      <c r="D6" s="26" t="s">
        <v>0</v>
      </c>
      <c r="E6" s="26"/>
      <c r="F6" s="26"/>
      <c r="G6" s="41" t="s">
        <v>4</v>
      </c>
      <c r="H6" s="41"/>
      <c r="I6" s="26" t="s">
        <v>5</v>
      </c>
      <c r="J6" s="26"/>
      <c r="K6" s="41" t="s">
        <v>4</v>
      </c>
      <c r="L6" s="41"/>
      <c r="M6" s="26" t="s">
        <v>5</v>
      </c>
      <c r="N6" s="26"/>
      <c r="O6" s="41" t="s">
        <v>4</v>
      </c>
      <c r="P6" s="41"/>
      <c r="Q6" s="26" t="s">
        <v>5</v>
      </c>
      <c r="R6" s="26"/>
      <c r="S6" s="41" t="s">
        <v>4</v>
      </c>
      <c r="T6" s="41"/>
      <c r="U6" s="26" t="s">
        <v>5</v>
      </c>
      <c r="V6" s="26"/>
    </row>
    <row r="7" spans="2:22" ht="16.5" thickTop="1" thickBot="1" x14ac:dyDescent="0.3">
      <c r="D7" s="26"/>
      <c r="E7" s="26"/>
      <c r="F7" s="26"/>
      <c r="G7" s="26"/>
      <c r="H7" s="26"/>
      <c r="I7" s="26"/>
      <c r="J7" s="26"/>
      <c r="K7" s="26"/>
      <c r="L7" s="26"/>
      <c r="M7" s="26"/>
      <c r="N7" s="26"/>
      <c r="O7" s="26"/>
      <c r="P7" s="26"/>
      <c r="Q7" s="26"/>
      <c r="R7" s="26"/>
      <c r="S7" s="27"/>
      <c r="T7" s="27"/>
      <c r="U7" s="27"/>
      <c r="V7" s="27"/>
    </row>
    <row r="8" spans="2:22" ht="16.5" thickTop="1" thickBot="1" x14ac:dyDescent="0.3">
      <c r="D8" s="26" t="s">
        <v>11</v>
      </c>
      <c r="E8" s="26"/>
      <c r="F8" s="1">
        <v>145.83000000000001</v>
      </c>
      <c r="G8" s="32">
        <f>32.45+20*LOG10(800)+20*LOG10(F8/1000)</f>
        <v>73.788737255722964</v>
      </c>
      <c r="H8" s="40"/>
      <c r="I8" s="32">
        <f>10*$D$24*LOG10(F8)+$D$26+10*$D$28*LOG10(3.4) +$D$30</f>
        <v>88.737994773771447</v>
      </c>
      <c r="J8" s="40"/>
      <c r="K8" s="32">
        <f>G8</f>
        <v>73.788737255722964</v>
      </c>
      <c r="L8" s="40"/>
      <c r="M8" s="32">
        <f>I8</f>
        <v>88.737994773771447</v>
      </c>
      <c r="N8" s="40"/>
      <c r="O8" s="50">
        <v>-62</v>
      </c>
      <c r="P8" s="33"/>
      <c r="Q8" s="32">
        <v>-68</v>
      </c>
      <c r="R8" s="46"/>
      <c r="S8" s="32">
        <v>22</v>
      </c>
      <c r="T8" s="33"/>
      <c r="U8" s="32">
        <v>38</v>
      </c>
      <c r="V8" s="46"/>
    </row>
    <row r="9" spans="2:22" ht="16.5" thickTop="1" thickBot="1" x14ac:dyDescent="0.3">
      <c r="D9" s="26"/>
      <c r="E9" s="26"/>
      <c r="F9" s="1">
        <v>183.17</v>
      </c>
      <c r="G9" s="32">
        <f t="shared" ref="G9:G16" si="0">32.45+20*LOG10(800)+20*LOG10(F9/1000)</f>
        <v>75.768886648162749</v>
      </c>
      <c r="H9" s="40"/>
      <c r="I9" s="32">
        <f>10*$D$24*LOG10(F9)+$D$26+10*$D$28*LOG10(3.4) +$D$30</f>
        <v>90.718144166211232</v>
      </c>
      <c r="J9" s="40"/>
      <c r="K9" s="32">
        <f>G9</f>
        <v>75.768886648162749</v>
      </c>
      <c r="L9" s="40"/>
      <c r="M9" s="32">
        <f t="shared" ref="M9:M16" si="1">I9</f>
        <v>90.718144166211232</v>
      </c>
      <c r="N9" s="40"/>
      <c r="O9" s="32">
        <v>-71</v>
      </c>
      <c r="P9" s="40"/>
      <c r="Q9" s="32">
        <v>-76</v>
      </c>
      <c r="R9" s="46"/>
      <c r="S9" s="32">
        <v>2</v>
      </c>
      <c r="T9" s="33"/>
      <c r="U9" s="32">
        <v>35</v>
      </c>
      <c r="V9" s="46"/>
    </row>
    <row r="10" spans="2:22" ht="16.5" thickTop="1" thickBot="1" x14ac:dyDescent="0.3">
      <c r="D10" s="26"/>
      <c r="E10" s="26"/>
      <c r="F10" s="1">
        <v>243.1</v>
      </c>
      <c r="G10" s="32">
        <f t="shared" si="0"/>
        <v>78.227498916705599</v>
      </c>
      <c r="H10" s="40"/>
      <c r="I10" s="32">
        <f>10*$D$24*LOG10(F10)+$D$26+10*$D$28*LOG10(3.4) +$D$30</f>
        <v>93.176756434754083</v>
      </c>
      <c r="J10" s="40"/>
      <c r="K10" s="32">
        <f>G10</f>
        <v>78.227498916705599</v>
      </c>
      <c r="L10" s="40"/>
      <c r="M10" s="32">
        <f t="shared" si="1"/>
        <v>93.176756434754083</v>
      </c>
      <c r="N10" s="40"/>
      <c r="O10" s="50">
        <v>-65</v>
      </c>
      <c r="P10" s="33"/>
      <c r="Q10" s="32">
        <v>-73</v>
      </c>
      <c r="R10" s="46"/>
      <c r="S10" s="32">
        <v>19</v>
      </c>
      <c r="T10" s="33"/>
      <c r="U10" s="32">
        <v>22</v>
      </c>
      <c r="V10" s="46"/>
    </row>
    <row r="11" spans="2:22" ht="16.5" thickTop="1" thickBot="1" x14ac:dyDescent="0.3">
      <c r="D11" s="26" t="s">
        <v>10</v>
      </c>
      <c r="E11" s="26"/>
      <c r="F11" s="1">
        <v>302.69</v>
      </c>
      <c r="G11" s="32">
        <f t="shared" si="0"/>
        <v>80.131761207100013</v>
      </c>
      <c r="H11" s="40"/>
      <c r="I11" s="32">
        <f>10*$G$24*LOG10(F8)+$G$26+10*$G$28*LOG10(3.4)+ $G$30</f>
        <v>88.311727614209588</v>
      </c>
      <c r="J11" s="40"/>
      <c r="K11" s="32">
        <f>G11+6</f>
        <v>86.131761207100013</v>
      </c>
      <c r="L11" s="40"/>
      <c r="M11" s="32">
        <f t="shared" si="1"/>
        <v>88.311727614209588</v>
      </c>
      <c r="N11" s="40"/>
      <c r="O11" s="32">
        <v>-58</v>
      </c>
      <c r="P11" s="40"/>
      <c r="Q11" s="32">
        <v>-71</v>
      </c>
      <c r="R11" s="46"/>
      <c r="S11" s="32">
        <v>21</v>
      </c>
      <c r="T11" s="33"/>
      <c r="U11" s="32">
        <v>21</v>
      </c>
      <c r="V11" s="46"/>
    </row>
    <row r="12" spans="2:22" ht="16.5" thickTop="1" thickBot="1" x14ac:dyDescent="0.3">
      <c r="B12" s="5"/>
      <c r="D12" s="26"/>
      <c r="E12" s="26"/>
      <c r="F12" s="1">
        <v>311.83</v>
      </c>
      <c r="G12" s="32">
        <f t="shared" si="0"/>
        <v>80.390157634105677</v>
      </c>
      <c r="H12" s="40"/>
      <c r="I12" s="32">
        <f>10*$G$24*LOG10(F9)+$G$26+10*$G$28*LOG10(3.4)+ $G$30</f>
        <v>91.083936763625275</v>
      </c>
      <c r="J12" s="40"/>
      <c r="K12" s="32">
        <f>G12+6</f>
        <v>86.390157634105677</v>
      </c>
      <c r="L12" s="40"/>
      <c r="M12" s="32">
        <f t="shared" si="1"/>
        <v>91.083936763625275</v>
      </c>
      <c r="N12" s="40"/>
      <c r="O12" s="32">
        <v>-80</v>
      </c>
      <c r="P12" s="40"/>
      <c r="Q12" s="32">
        <v>-86</v>
      </c>
      <c r="R12" s="46"/>
      <c r="S12" s="32">
        <v>5</v>
      </c>
      <c r="T12" s="33"/>
      <c r="U12" s="32">
        <v>18</v>
      </c>
      <c r="V12" s="46"/>
    </row>
    <row r="13" spans="2:22" ht="16.5" thickTop="1" thickBot="1" x14ac:dyDescent="0.3">
      <c r="D13" s="26"/>
      <c r="E13" s="26"/>
      <c r="F13" s="1">
        <v>331.88</v>
      </c>
      <c r="G13" s="32">
        <f t="shared" si="0"/>
        <v>80.931421368224846</v>
      </c>
      <c r="H13" s="40"/>
      <c r="I13" s="32">
        <f>10*$G$24*LOG10(F10)+$G$26+10*$G$28*LOG10(3.4)+ $G$30</f>
        <v>94.525993939585263</v>
      </c>
      <c r="J13" s="40"/>
      <c r="K13" s="32">
        <f>G13+6</f>
        <v>86.931421368224846</v>
      </c>
      <c r="L13" s="40"/>
      <c r="M13" s="32">
        <f t="shared" si="1"/>
        <v>94.525993939585263</v>
      </c>
      <c r="N13" s="40"/>
      <c r="O13" s="32">
        <v>-81</v>
      </c>
      <c r="P13" s="40"/>
      <c r="Q13" s="32">
        <v>-92</v>
      </c>
      <c r="R13" s="46"/>
      <c r="S13" s="32">
        <v>9</v>
      </c>
      <c r="T13" s="33"/>
      <c r="U13" s="32">
        <v>24</v>
      </c>
      <c r="V13" s="46"/>
    </row>
    <row r="14" spans="2:22" ht="16.5" thickTop="1" thickBot="1" x14ac:dyDescent="0.3">
      <c r="D14" s="26" t="s">
        <v>9</v>
      </c>
      <c r="E14" s="26"/>
      <c r="F14" s="1">
        <v>335.45</v>
      </c>
      <c r="G14" s="32">
        <f t="shared" si="0"/>
        <v>81.024355664076637</v>
      </c>
      <c r="H14" s="40"/>
      <c r="I14" s="32">
        <f>10*$J$24*LOG10(F8)+$J$26+10*$J$28*LOG10(3.4)+ $J$30</f>
        <v>118.23274007660002</v>
      </c>
      <c r="J14" s="40"/>
      <c r="K14" s="32">
        <f>G14+30</f>
        <v>111.02435566407664</v>
      </c>
      <c r="L14" s="40"/>
      <c r="M14" s="32">
        <f t="shared" si="1"/>
        <v>118.23274007660002</v>
      </c>
      <c r="N14" s="40"/>
      <c r="O14" s="50">
        <v>-84</v>
      </c>
      <c r="P14" s="33"/>
      <c r="Q14" s="32">
        <v>-81</v>
      </c>
      <c r="R14" s="46"/>
      <c r="S14" s="32">
        <v>15</v>
      </c>
      <c r="T14" s="33"/>
      <c r="U14" s="32">
        <v>35</v>
      </c>
      <c r="V14" s="46"/>
    </row>
    <row r="15" spans="2:22" ht="16.5" thickTop="1" thickBot="1" x14ac:dyDescent="0.3">
      <c r="D15" s="26"/>
      <c r="E15" s="26"/>
      <c r="F15" s="1">
        <v>320.77999999999997</v>
      </c>
      <c r="G15" s="32">
        <f t="shared" si="0"/>
        <v>80.635945400883983</v>
      </c>
      <c r="H15" s="40"/>
      <c r="I15" s="32">
        <f>10*$J$24*LOG10(F9)+$J$26+10*$J$28*LOG10(3.4)+ $J$30</f>
        <v>121.69800151336962</v>
      </c>
      <c r="J15" s="40"/>
      <c r="K15" s="32">
        <f>G15+30</f>
        <v>110.63594540088398</v>
      </c>
      <c r="L15" s="40"/>
      <c r="M15" s="32">
        <f t="shared" si="1"/>
        <v>121.69800151336962</v>
      </c>
      <c r="N15" s="40"/>
      <c r="O15" s="32">
        <v>-102</v>
      </c>
      <c r="P15" s="40"/>
      <c r="Q15" s="32">
        <v>-107</v>
      </c>
      <c r="R15" s="46"/>
      <c r="S15" s="32">
        <v>9</v>
      </c>
      <c r="T15" s="33"/>
      <c r="U15" s="32">
        <v>10</v>
      </c>
      <c r="V15" s="46"/>
    </row>
    <row r="16" spans="2:22" ht="16.5" thickTop="1" thickBot="1" x14ac:dyDescent="0.3">
      <c r="D16" s="26"/>
      <c r="E16" s="27"/>
      <c r="F16" s="1">
        <v>349.34</v>
      </c>
      <c r="G16" s="32">
        <f t="shared" si="0"/>
        <v>81.376766058070757</v>
      </c>
      <c r="H16" s="40"/>
      <c r="I16" s="32">
        <f>10*$J$24*LOG10(F10)+$J$26+10*$J$28*LOG10(3.4)+ $J$30</f>
        <v>126.0005729833196</v>
      </c>
      <c r="J16" s="40"/>
      <c r="K16" s="32">
        <f>G16+30</f>
        <v>111.37676605807076</v>
      </c>
      <c r="L16" s="40"/>
      <c r="M16" s="32">
        <f t="shared" si="1"/>
        <v>126.0005729833196</v>
      </c>
      <c r="N16" s="40"/>
      <c r="O16" s="50">
        <v>-84</v>
      </c>
      <c r="P16" s="33"/>
      <c r="Q16" s="32">
        <v>-102</v>
      </c>
      <c r="R16" s="46"/>
      <c r="S16" s="32">
        <v>12</v>
      </c>
      <c r="T16" s="33"/>
      <c r="U16" s="32">
        <v>4</v>
      </c>
      <c r="V16" s="46"/>
    </row>
    <row r="17" spans="3:51" ht="16.5" thickTop="1" thickBot="1" x14ac:dyDescent="0.3">
      <c r="E17" s="3"/>
      <c r="F17" s="4" t="s">
        <v>3</v>
      </c>
      <c r="G17" s="47" t="s">
        <v>6</v>
      </c>
      <c r="H17" s="48"/>
      <c r="I17" s="48"/>
      <c r="J17" s="48"/>
      <c r="K17" s="48"/>
      <c r="L17" s="48"/>
      <c r="M17" s="48"/>
      <c r="N17" s="49"/>
      <c r="O17" s="47" t="s">
        <v>7</v>
      </c>
      <c r="P17" s="48"/>
      <c r="Q17" s="48"/>
      <c r="R17" s="49"/>
      <c r="S17" s="47" t="s">
        <v>6</v>
      </c>
      <c r="T17" s="48"/>
      <c r="U17" s="48"/>
      <c r="V17" s="49"/>
      <c r="AY17" s="6"/>
    </row>
    <row r="20" spans="3:51" ht="15.75" thickBot="1" x14ac:dyDescent="0.3"/>
    <row r="21" spans="3:51" ht="16.5" thickTop="1" thickBot="1" x14ac:dyDescent="0.3">
      <c r="D21" s="26" t="s">
        <v>11</v>
      </c>
      <c r="E21" s="26"/>
      <c r="G21" s="28" t="s">
        <v>10</v>
      </c>
      <c r="H21" s="29"/>
      <c r="J21" s="26" t="s">
        <v>9</v>
      </c>
      <c r="K21" s="26"/>
    </row>
    <row r="22" spans="3:51" ht="16.5" thickTop="1" thickBot="1" x14ac:dyDescent="0.3">
      <c r="D22" s="26"/>
      <c r="E22" s="26"/>
      <c r="G22" s="30"/>
      <c r="H22" s="31"/>
      <c r="J22" s="26"/>
      <c r="K22" s="26"/>
    </row>
    <row r="23" spans="3:51" ht="16.5" thickTop="1" thickBot="1" x14ac:dyDescent="0.3">
      <c r="D23" s="27"/>
      <c r="E23" s="27"/>
      <c r="G23" s="30"/>
      <c r="H23" s="31"/>
      <c r="J23" s="26"/>
      <c r="K23" s="26"/>
    </row>
    <row r="24" spans="3:51" ht="15.75" thickTop="1" x14ac:dyDescent="0.25">
      <c r="C24" s="7" t="s">
        <v>12</v>
      </c>
      <c r="D24" s="13">
        <v>2</v>
      </c>
      <c r="E24" s="14"/>
      <c r="G24" s="13">
        <v>2.8</v>
      </c>
      <c r="H24" s="14"/>
      <c r="J24" s="13">
        <v>3.5</v>
      </c>
      <c r="K24" s="14"/>
    </row>
    <row r="25" spans="3:51" ht="15.75" thickBot="1" x14ac:dyDescent="0.3">
      <c r="C25" s="8"/>
      <c r="D25" s="15"/>
      <c r="E25" s="16"/>
      <c r="G25" s="15"/>
      <c r="H25" s="16"/>
      <c r="I25" s="2"/>
      <c r="J25" s="15"/>
      <c r="K25" s="16"/>
      <c r="Y25" t="s">
        <v>22</v>
      </c>
    </row>
    <row r="26" spans="3:51" ht="15.75" thickTop="1" x14ac:dyDescent="0.25">
      <c r="C26" s="7" t="s">
        <v>13</v>
      </c>
      <c r="D26" s="9">
        <v>31.4</v>
      </c>
      <c r="E26" s="10"/>
      <c r="G26" s="9">
        <v>11.4</v>
      </c>
      <c r="H26" s="10"/>
      <c r="J26" s="9">
        <v>24.4</v>
      </c>
      <c r="K26" s="10"/>
    </row>
    <row r="27" spans="3:51" ht="15.75" thickBot="1" x14ac:dyDescent="0.3">
      <c r="C27" s="8"/>
      <c r="D27" s="15"/>
      <c r="E27" s="16"/>
      <c r="G27" s="15"/>
      <c r="H27" s="16"/>
      <c r="J27" s="15"/>
      <c r="K27" s="16"/>
    </row>
    <row r="28" spans="3:51" ht="15.75" thickTop="1" x14ac:dyDescent="0.25">
      <c r="C28" s="7" t="s">
        <v>14</v>
      </c>
      <c r="D28" s="9">
        <v>2.1</v>
      </c>
      <c r="E28" s="10"/>
      <c r="G28" s="9">
        <v>2.2999999999999998</v>
      </c>
      <c r="H28" s="10"/>
      <c r="J28" s="9">
        <v>1.9</v>
      </c>
      <c r="K28" s="10"/>
    </row>
    <row r="29" spans="3:51" ht="15.75" thickBot="1" x14ac:dyDescent="0.3">
      <c r="C29" s="8"/>
      <c r="D29" s="11"/>
      <c r="E29" s="12"/>
      <c r="G29" s="11"/>
      <c r="H29" s="12"/>
      <c r="J29" s="11"/>
      <c r="K29" s="12"/>
    </row>
    <row r="30" spans="3:51" ht="15.75" thickTop="1" x14ac:dyDescent="0.25">
      <c r="C30" s="7" t="s">
        <v>21</v>
      </c>
      <c r="D30" s="9">
        <v>2.9</v>
      </c>
      <c r="E30" s="10"/>
      <c r="G30" s="9">
        <v>4.0999999999999996</v>
      </c>
      <c r="H30" s="10"/>
      <c r="J30" s="9">
        <v>8</v>
      </c>
      <c r="K30" s="10"/>
    </row>
    <row r="31" spans="3:51" ht="15.75" thickBot="1" x14ac:dyDescent="0.3">
      <c r="C31" s="8"/>
      <c r="D31" s="11"/>
      <c r="E31" s="12"/>
      <c r="G31" s="11"/>
      <c r="H31" s="12"/>
      <c r="J31" s="11"/>
      <c r="K31" s="12"/>
    </row>
  </sheetData>
  <mergeCells count="110">
    <mergeCell ref="C30:C31"/>
    <mergeCell ref="D30:E31"/>
    <mergeCell ref="G30:H31"/>
    <mergeCell ref="J30:K31"/>
    <mergeCell ref="I15:J15"/>
    <mergeCell ref="U10:V10"/>
    <mergeCell ref="U11:V11"/>
    <mergeCell ref="U12:V12"/>
    <mergeCell ref="S10:T10"/>
    <mergeCell ref="S11:T11"/>
    <mergeCell ref="S12:T12"/>
    <mergeCell ref="S13:T13"/>
    <mergeCell ref="U13:V13"/>
    <mergeCell ref="Q10:R10"/>
    <mergeCell ref="Q11:R11"/>
    <mergeCell ref="Q12:R12"/>
    <mergeCell ref="Q13:R13"/>
    <mergeCell ref="Q14:R14"/>
    <mergeCell ref="M15:N15"/>
    <mergeCell ref="D8:E10"/>
    <mergeCell ref="D11:E13"/>
    <mergeCell ref="O12:P12"/>
    <mergeCell ref="O13:P13"/>
    <mergeCell ref="O14:P14"/>
    <mergeCell ref="O15:P15"/>
    <mergeCell ref="K16:L16"/>
    <mergeCell ref="M8:N8"/>
    <mergeCell ref="M9:N9"/>
    <mergeCell ref="M10:N10"/>
    <mergeCell ref="M11:N11"/>
    <mergeCell ref="M12:N12"/>
    <mergeCell ref="M13:N13"/>
    <mergeCell ref="M14:N14"/>
    <mergeCell ref="K8:L8"/>
    <mergeCell ref="K9:L9"/>
    <mergeCell ref="K10:L10"/>
    <mergeCell ref="K11:L11"/>
    <mergeCell ref="K12:L12"/>
    <mergeCell ref="K13:L13"/>
    <mergeCell ref="M16:N16"/>
    <mergeCell ref="D14:E16"/>
    <mergeCell ref="G17:N17"/>
    <mergeCell ref="G8:H8"/>
    <mergeCell ref="G9:H9"/>
    <mergeCell ref="D6:F7"/>
    <mergeCell ref="G16:H16"/>
    <mergeCell ref="I8:J8"/>
    <mergeCell ref="I9:J9"/>
    <mergeCell ref="I10:J10"/>
    <mergeCell ref="I11:J11"/>
    <mergeCell ref="I12:J12"/>
    <mergeCell ref="I13:J13"/>
    <mergeCell ref="I14:J14"/>
    <mergeCell ref="I16:J16"/>
    <mergeCell ref="G10:H10"/>
    <mergeCell ref="G11:H11"/>
    <mergeCell ref="G12:H12"/>
    <mergeCell ref="G13:H13"/>
    <mergeCell ref="G14:H14"/>
    <mergeCell ref="G15:H15"/>
    <mergeCell ref="K14:L14"/>
    <mergeCell ref="K15:L15"/>
    <mergeCell ref="G4:J5"/>
    <mergeCell ref="G6:H7"/>
    <mergeCell ref="I6:J7"/>
    <mergeCell ref="K4:N5"/>
    <mergeCell ref="O4:R5"/>
    <mergeCell ref="K6:L7"/>
    <mergeCell ref="M6:N7"/>
    <mergeCell ref="O6:P7"/>
    <mergeCell ref="Q6:R7"/>
    <mergeCell ref="D21:E23"/>
    <mergeCell ref="D24:E25"/>
    <mergeCell ref="C24:C25"/>
    <mergeCell ref="G21:H23"/>
    <mergeCell ref="J21:K23"/>
    <mergeCell ref="C26:C27"/>
    <mergeCell ref="C28:C29"/>
    <mergeCell ref="D26:E27"/>
    <mergeCell ref="D28:E29"/>
    <mergeCell ref="G24:H25"/>
    <mergeCell ref="G26:H27"/>
    <mergeCell ref="G28:H29"/>
    <mergeCell ref="J24:K25"/>
    <mergeCell ref="J26:K27"/>
    <mergeCell ref="J28:K29"/>
    <mergeCell ref="S4:V5"/>
    <mergeCell ref="S6:T7"/>
    <mergeCell ref="U6:V7"/>
    <mergeCell ref="U8:V8"/>
    <mergeCell ref="S9:T9"/>
    <mergeCell ref="U9:V9"/>
    <mergeCell ref="O17:R17"/>
    <mergeCell ref="S17:V17"/>
    <mergeCell ref="O8:P8"/>
    <mergeCell ref="O9:P9"/>
    <mergeCell ref="O10:P10"/>
    <mergeCell ref="U16:V16"/>
    <mergeCell ref="U15:V15"/>
    <mergeCell ref="U14:V14"/>
    <mergeCell ref="S16:T16"/>
    <mergeCell ref="S15:T15"/>
    <mergeCell ref="S14:T14"/>
    <mergeCell ref="Q16:R16"/>
    <mergeCell ref="Q15:R15"/>
    <mergeCell ref="O16:P16"/>
    <mergeCell ref="Q9:R9"/>
    <mergeCell ref="Q8:R8"/>
    <mergeCell ref="S8:T8"/>
    <mergeCell ref="O11:P11"/>
  </mergeCells>
  <pageMargins left="0.7" right="0.7" top="0.75" bottom="0.75" header="0.3" footer="0.3"/>
  <pageSetup paperSize="9" orientation="portrait" r:id="rId1"/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819B0141A1FC124B95D5997F901DFCD5" ma:contentTypeVersion="16" ma:contentTypeDescription="Criar um novo documento." ma:contentTypeScope="" ma:versionID="daa4283457efb62b438f83664318e018">
  <xsd:schema xmlns:xsd="http://www.w3.org/2001/XMLSchema" xmlns:xs="http://www.w3.org/2001/XMLSchema" xmlns:p="http://schemas.microsoft.com/office/2006/metadata/properties" xmlns:ns3="1fb98cd4-2a84-4fcf-9f58-f5f0505e30c9" xmlns:ns4="3fe4dc1d-15ff-4406-b444-dbc725ced964" targetNamespace="http://schemas.microsoft.com/office/2006/metadata/properties" ma:root="true" ma:fieldsID="1c4a5d4e1d363f94f100ba11cf2246b6" ns3:_="" ns4:_="">
    <xsd:import namespace="1fb98cd4-2a84-4fcf-9f58-f5f0505e30c9"/>
    <xsd:import namespace="3fe4dc1d-15ff-4406-b444-dbc725ced964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MediaServiceAutoTag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_activity" minOccurs="0"/>
                <xsd:element ref="ns3:MediaServiceObjectDetectorVersions" minOccurs="0"/>
                <xsd:element ref="ns3:MediaLengthInSeconds" minOccurs="0"/>
                <xsd:element ref="ns3:MediaServiceDateTaken" minOccurs="0"/>
                <xsd:element ref="ns3:MediaServiceSystemTags" minOccurs="0"/>
                <xsd:element ref="ns4:SharedWithUsers" minOccurs="0"/>
                <xsd:element ref="ns4:SharedWithDetails" minOccurs="0"/>
                <xsd:element ref="ns4:SharingHintHash" minOccurs="0"/>
                <xsd:element ref="ns3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fb98cd4-2a84-4fcf-9f58-f5f0505e30c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AutoTags" ma:index="11" nillable="true" ma:displayName="Tags" ma:internalName="MediaServiceAutoTags" ma:readOnly="true">
      <xsd:simpleType>
        <xsd:restriction base="dms:Text"/>
      </xsd:simpleType>
    </xsd:element>
    <xsd:element name="MediaServiceOCR" ma:index="12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_activity" ma:index="15" nillable="true" ma:displayName="_activity" ma:hidden="true" ma:internalName="_activity">
      <xsd:simpleType>
        <xsd:restriction base="dms:Note"/>
      </xsd:simpleType>
    </xsd:element>
    <xsd:element name="MediaServiceObjectDetectorVersions" ma:index="16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SystemTags" ma:index="19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Location" ma:index="23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fe4dc1d-15ff-4406-b444-dbc725ced964" elementFormDefault="qualified">
    <xsd:import namespace="http://schemas.microsoft.com/office/2006/documentManagement/types"/>
    <xsd:import namespace="http://schemas.microsoft.com/office/infopath/2007/PartnerControls"/>
    <xsd:element name="SharedWithUsers" ma:index="2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22" nillable="true" ma:displayName="Hash de Sugestão de Partilha" ma:hidden="true" ma:internalName="SharingHintHash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1fb98cd4-2a84-4fcf-9f58-f5f0505e30c9" xsi:nil="true"/>
  </documentManagement>
</p:properties>
</file>

<file path=customXml/itemProps1.xml><?xml version="1.0" encoding="utf-8"?>
<ds:datastoreItem xmlns:ds="http://schemas.openxmlformats.org/officeDocument/2006/customXml" ds:itemID="{61EB1D94-6772-4426-867C-8ADB6C5B4890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1fb98cd4-2a84-4fcf-9f58-f5f0505e30c9"/>
    <ds:schemaRef ds:uri="3fe4dc1d-15ff-4406-b444-dbc725ced96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C795DE9C-B04F-42A5-B5B3-33E9A151AEEC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8878E1D2-856B-4975-9BBA-91F001B2441B}">
  <ds:schemaRefs>
    <ds:schemaRef ds:uri="http://schemas.microsoft.com/office/2006/documentManagement/types"/>
    <ds:schemaRef ds:uri="http://purl.org/dc/elements/1.1/"/>
    <ds:schemaRef ds:uri="http://schemas.microsoft.com/office/2006/metadata/properties"/>
    <ds:schemaRef ds:uri="http://purl.org/dc/dcmitype/"/>
    <ds:schemaRef ds:uri="3fe4dc1d-15ff-4406-b444-dbc725ced964"/>
    <ds:schemaRef ds:uri="http://schemas.microsoft.com/office/infopath/2007/PartnerControls"/>
    <ds:schemaRef ds:uri="http://www.w3.org/XML/1998/namespace"/>
    <ds:schemaRef ds:uri="http://schemas.openxmlformats.org/package/2006/metadata/core-properties"/>
    <ds:schemaRef ds:uri="1fb98cd4-2a84-4fcf-9f58-f5f0505e30c9"/>
    <ds:schemaRef ds:uri="http://purl.org/dc/terms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Folhas de Cálculo</vt:lpstr>
      </vt:variant>
      <vt:variant>
        <vt:i4>3</vt:i4>
      </vt:variant>
    </vt:vector>
  </HeadingPairs>
  <TitlesOfParts>
    <vt:vector size="3" baseType="lpstr">
      <vt:lpstr>Teórico</vt:lpstr>
      <vt:lpstr>Teórico (2)</vt:lpstr>
      <vt:lpstr>Obtido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Vasco Cananao Mendes</dc:creator>
  <cp:lastModifiedBy>Vasco Cananao Mendes</cp:lastModifiedBy>
  <cp:lastPrinted>2025-12-15T23:32:14Z</cp:lastPrinted>
  <dcterms:created xsi:type="dcterms:W3CDTF">2025-10-28T23:03:33Z</dcterms:created>
  <dcterms:modified xsi:type="dcterms:W3CDTF">2025-12-20T15:10:51Z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0x010100819B0141A1FC124B95D5997F901DFCD5</vt:lpwstr>
  </property>
</Properties>
</file>